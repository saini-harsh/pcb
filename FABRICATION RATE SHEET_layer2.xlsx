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65" i="1"/>
  <c r="O66" i="1"/>
  <c r="O67" i="1"/>
  <c r="O68" i="1"/>
  <c r="O69" i="1"/>
  <c r="O70" i="1"/>
  <c r="O71" i="1"/>
  <c r="O80" i="1"/>
  <c r="O81" i="1"/>
  <c r="O82" i="1"/>
  <c r="O83" i="1"/>
  <c r="O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4" i="1"/>
  <c r="G5" i="1" l="1"/>
  <c r="G6" i="1"/>
  <c r="H5" i="1"/>
  <c r="L4" i="1"/>
  <c r="R4" i="1"/>
  <c r="Q20" i="1"/>
  <c r="N79" i="1"/>
  <c r="N21" i="1"/>
  <c r="I83" i="1"/>
  <c r="H83" i="1" s="1"/>
  <c r="I82" i="1"/>
  <c r="H82" i="1" s="1"/>
  <c r="G83" i="1" s="1"/>
  <c r="I81" i="1"/>
  <c r="H81" i="1" s="1"/>
  <c r="G82" i="1" s="1"/>
  <c r="I80" i="1"/>
  <c r="H80" i="1" s="1"/>
  <c r="G81" i="1" s="1"/>
  <c r="I79" i="1"/>
  <c r="H79" i="1" s="1"/>
  <c r="G80" i="1" s="1"/>
  <c r="I78" i="1"/>
  <c r="H78" i="1" s="1"/>
  <c r="G79" i="1" s="1"/>
  <c r="I77" i="1"/>
  <c r="H77" i="1" s="1"/>
  <c r="G78" i="1" s="1"/>
  <c r="I76" i="1"/>
  <c r="H76" i="1" s="1"/>
  <c r="G77" i="1" s="1"/>
  <c r="I75" i="1"/>
  <c r="H75" i="1" s="1"/>
  <c r="G76" i="1" s="1"/>
  <c r="I74" i="1"/>
  <c r="H74" i="1" s="1"/>
  <c r="G75" i="1" s="1"/>
  <c r="I73" i="1"/>
  <c r="H73" i="1" s="1"/>
  <c r="G74" i="1" s="1"/>
  <c r="I72" i="1"/>
  <c r="H72" i="1" s="1"/>
  <c r="G73" i="1" s="1"/>
  <c r="I71" i="1"/>
  <c r="H71" i="1" s="1"/>
  <c r="G72" i="1" s="1"/>
  <c r="I70" i="1"/>
  <c r="H70" i="1" s="1"/>
  <c r="G71" i="1" s="1"/>
  <c r="I69" i="1"/>
  <c r="H69" i="1" s="1"/>
  <c r="G70" i="1" s="1"/>
  <c r="I68" i="1"/>
  <c r="H68" i="1" s="1"/>
  <c r="G69" i="1" s="1"/>
  <c r="I67" i="1"/>
  <c r="H67" i="1" s="1"/>
  <c r="G68" i="1" s="1"/>
  <c r="I66" i="1"/>
  <c r="H66" i="1" s="1"/>
  <c r="G67" i="1" s="1"/>
  <c r="I65" i="1"/>
  <c r="H65" i="1" s="1"/>
  <c r="G66" i="1" s="1"/>
  <c r="I64" i="1"/>
  <c r="H64" i="1" s="1"/>
  <c r="G65" i="1" s="1"/>
  <c r="I63" i="1"/>
  <c r="H63" i="1" s="1"/>
  <c r="G64" i="1" s="1"/>
  <c r="I62" i="1"/>
  <c r="H62" i="1" s="1"/>
  <c r="G63" i="1" s="1"/>
  <c r="I61" i="1"/>
  <c r="H61" i="1" s="1"/>
  <c r="G62" i="1" s="1"/>
  <c r="I60" i="1"/>
  <c r="H60" i="1" s="1"/>
  <c r="G61" i="1" s="1"/>
  <c r="I59" i="1"/>
  <c r="H59" i="1" s="1"/>
  <c r="G60" i="1" s="1"/>
  <c r="I58" i="1"/>
  <c r="H58" i="1" s="1"/>
  <c r="G59" i="1" s="1"/>
  <c r="I57" i="1"/>
  <c r="H57" i="1" s="1"/>
  <c r="G58" i="1" s="1"/>
  <c r="I56" i="1"/>
  <c r="H56" i="1" s="1"/>
  <c r="G57" i="1" s="1"/>
  <c r="I55" i="1"/>
  <c r="H55" i="1" s="1"/>
  <c r="G56" i="1" s="1"/>
  <c r="I54" i="1"/>
  <c r="H54" i="1" s="1"/>
  <c r="G55" i="1" s="1"/>
  <c r="I53" i="1"/>
  <c r="H53" i="1" s="1"/>
  <c r="G54" i="1" s="1"/>
  <c r="I52" i="1"/>
  <c r="H52" i="1" s="1"/>
  <c r="G53" i="1" s="1"/>
  <c r="I51" i="1"/>
  <c r="H51" i="1" s="1"/>
  <c r="G52" i="1" s="1"/>
  <c r="I50" i="1"/>
  <c r="H50" i="1" s="1"/>
  <c r="G51" i="1" s="1"/>
  <c r="I49" i="1"/>
  <c r="H49" i="1" s="1"/>
  <c r="G50" i="1" s="1"/>
  <c r="I48" i="1"/>
  <c r="H48" i="1" s="1"/>
  <c r="G49" i="1" s="1"/>
  <c r="D48" i="1"/>
  <c r="I47" i="1"/>
  <c r="H47" i="1" s="1"/>
  <c r="G48" i="1" s="1"/>
  <c r="D47" i="1"/>
  <c r="I46" i="1"/>
  <c r="H46" i="1" s="1"/>
  <c r="G47" i="1" s="1"/>
  <c r="D46" i="1"/>
  <c r="I45" i="1"/>
  <c r="H45" i="1" s="1"/>
  <c r="G46" i="1" s="1"/>
  <c r="D45" i="1"/>
  <c r="I44" i="1"/>
  <c r="H44" i="1" s="1"/>
  <c r="G45" i="1" s="1"/>
  <c r="D44" i="1"/>
  <c r="I43" i="1"/>
  <c r="H43" i="1" s="1"/>
  <c r="G44" i="1" s="1"/>
  <c r="D43" i="1"/>
  <c r="I42" i="1"/>
  <c r="H42" i="1" s="1"/>
  <c r="G43" i="1" s="1"/>
  <c r="D42" i="1"/>
  <c r="I41" i="1"/>
  <c r="H41" i="1" s="1"/>
  <c r="G42" i="1" s="1"/>
  <c r="D41" i="1"/>
  <c r="I40" i="1"/>
  <c r="H40" i="1" s="1"/>
  <c r="G41" i="1" s="1"/>
  <c r="D40" i="1"/>
  <c r="I39" i="1"/>
  <c r="H39" i="1" s="1"/>
  <c r="G40" i="1" s="1"/>
  <c r="D39" i="1"/>
  <c r="I38" i="1"/>
  <c r="H38" i="1" s="1"/>
  <c r="G39" i="1" s="1"/>
  <c r="D38" i="1"/>
  <c r="I37" i="1"/>
  <c r="H37" i="1" s="1"/>
  <c r="G38" i="1" s="1"/>
  <c r="D37" i="1"/>
  <c r="I36" i="1"/>
  <c r="H36" i="1" s="1"/>
  <c r="G37" i="1" s="1"/>
  <c r="D36" i="1"/>
  <c r="I35" i="1"/>
  <c r="H35" i="1" s="1"/>
  <c r="G36" i="1" s="1"/>
  <c r="D35" i="1"/>
  <c r="I34" i="1"/>
  <c r="H34" i="1" s="1"/>
  <c r="G35" i="1" s="1"/>
  <c r="D34" i="1"/>
  <c r="I33" i="1"/>
  <c r="H33" i="1" s="1"/>
  <c r="G34" i="1" s="1"/>
  <c r="D33" i="1"/>
  <c r="I32" i="1"/>
  <c r="H32" i="1" s="1"/>
  <c r="G33" i="1" s="1"/>
  <c r="D32" i="1"/>
  <c r="I31" i="1"/>
  <c r="H31" i="1" s="1"/>
  <c r="G32" i="1" s="1"/>
  <c r="D31" i="1"/>
  <c r="I30" i="1"/>
  <c r="H30" i="1" s="1"/>
  <c r="G31" i="1" s="1"/>
  <c r="D30" i="1"/>
  <c r="I29" i="1"/>
  <c r="H29" i="1" s="1"/>
  <c r="G30" i="1" s="1"/>
  <c r="D29" i="1"/>
  <c r="I28" i="1"/>
  <c r="H28" i="1" s="1"/>
  <c r="G29" i="1" s="1"/>
  <c r="D28" i="1"/>
  <c r="I27" i="1"/>
  <c r="H27" i="1" s="1"/>
  <c r="G28" i="1" s="1"/>
  <c r="D27" i="1"/>
  <c r="I26" i="1"/>
  <c r="H26" i="1" s="1"/>
  <c r="G27" i="1" s="1"/>
  <c r="D26" i="1"/>
  <c r="I25" i="1"/>
  <c r="H25" i="1" s="1"/>
  <c r="G26" i="1" s="1"/>
  <c r="D25" i="1"/>
  <c r="I24" i="1"/>
  <c r="H24" i="1" s="1"/>
  <c r="G25" i="1" s="1"/>
  <c r="D24" i="1"/>
  <c r="I23" i="1"/>
  <c r="H23" i="1" s="1"/>
  <c r="G24" i="1" s="1"/>
  <c r="D23" i="1"/>
  <c r="I22" i="1"/>
  <c r="H22" i="1" s="1"/>
  <c r="G23" i="1" s="1"/>
  <c r="D22" i="1"/>
  <c r="I21" i="1"/>
  <c r="H21" i="1" s="1"/>
  <c r="G22" i="1" s="1"/>
  <c r="D21" i="1"/>
  <c r="I20" i="1"/>
  <c r="H20" i="1" s="1"/>
  <c r="G21" i="1" s="1"/>
  <c r="D20" i="1"/>
  <c r="I19" i="1"/>
  <c r="H19" i="1" s="1"/>
  <c r="G20" i="1" s="1"/>
  <c r="D19" i="1"/>
  <c r="I18" i="1"/>
  <c r="H18" i="1" s="1"/>
  <c r="G19" i="1" s="1"/>
  <c r="D18" i="1"/>
  <c r="I17" i="1"/>
  <c r="H17" i="1" s="1"/>
  <c r="G18" i="1" s="1"/>
  <c r="D17" i="1"/>
  <c r="I16" i="1"/>
  <c r="H16" i="1" s="1"/>
  <c r="G17" i="1" s="1"/>
  <c r="D16" i="1"/>
  <c r="I15" i="1"/>
  <c r="H15" i="1" s="1"/>
  <c r="G16" i="1" s="1"/>
  <c r="D15" i="1"/>
  <c r="I14" i="1"/>
  <c r="H14" i="1" s="1"/>
  <c r="G15" i="1" s="1"/>
  <c r="D14" i="1"/>
  <c r="I13" i="1"/>
  <c r="H13" i="1" s="1"/>
  <c r="G14" i="1" s="1"/>
  <c r="D13" i="1"/>
  <c r="I12" i="1"/>
  <c r="H12" i="1" s="1"/>
  <c r="G13" i="1" s="1"/>
  <c r="D12" i="1"/>
  <c r="I11" i="1"/>
  <c r="H11" i="1" s="1"/>
  <c r="G12" i="1" s="1"/>
  <c r="D11" i="1"/>
  <c r="I10" i="1"/>
  <c r="H10" i="1" s="1"/>
  <c r="G11" i="1" s="1"/>
  <c r="D10" i="1"/>
  <c r="I9" i="1"/>
  <c r="H9" i="1" s="1"/>
  <c r="G10" i="1" s="1"/>
  <c r="D9" i="1"/>
  <c r="I8" i="1"/>
  <c r="H8" i="1" s="1"/>
  <c r="G9" i="1" s="1"/>
  <c r="D8" i="1"/>
  <c r="I7" i="1"/>
  <c r="H7" i="1" s="1"/>
  <c r="G8" i="1" s="1"/>
  <c r="D7" i="1"/>
  <c r="I6" i="1"/>
  <c r="H6" i="1" s="1"/>
  <c r="G7" i="1" s="1"/>
  <c r="D6" i="1"/>
  <c r="I5" i="1"/>
  <c r="D5" i="1"/>
  <c r="I4" i="1"/>
  <c r="D4" i="1"/>
  <c r="Q21" i="1" l="1"/>
  <c r="R20" i="1"/>
  <c r="N78" i="1"/>
  <c r="O79" i="1"/>
  <c r="N22" i="1"/>
  <c r="O21" i="1"/>
  <c r="N77" i="1" l="1"/>
  <c r="O78" i="1"/>
  <c r="N23" i="1"/>
  <c r="O22" i="1"/>
  <c r="Q22" i="1"/>
  <c r="R21" i="1"/>
  <c r="N24" i="1" l="1"/>
  <c r="O23" i="1"/>
  <c r="Q23" i="1"/>
  <c r="R22" i="1"/>
  <c r="N76" i="1"/>
  <c r="O77" i="1"/>
  <c r="Q24" i="1" l="1"/>
  <c r="R23" i="1"/>
  <c r="N75" i="1"/>
  <c r="O76" i="1"/>
  <c r="N25" i="1"/>
  <c r="O24" i="1"/>
  <c r="N74" i="1" l="1"/>
  <c r="O75" i="1"/>
  <c r="N26" i="1"/>
  <c r="O25" i="1"/>
  <c r="Q25" i="1"/>
  <c r="R24" i="1"/>
  <c r="N27" i="1" l="1"/>
  <c r="O26" i="1"/>
  <c r="Q26" i="1"/>
  <c r="R25" i="1"/>
  <c r="N73" i="1"/>
  <c r="O74" i="1"/>
  <c r="Q27" i="1" l="1"/>
  <c r="R26" i="1"/>
  <c r="N72" i="1"/>
  <c r="O72" i="1" s="1"/>
  <c r="O73" i="1"/>
  <c r="N28" i="1"/>
  <c r="O27" i="1"/>
  <c r="N29" i="1" l="1"/>
  <c r="O28" i="1"/>
  <c r="Q28" i="1"/>
  <c r="R27" i="1"/>
  <c r="Q29" i="1" l="1"/>
  <c r="R28" i="1"/>
  <c r="N30" i="1"/>
  <c r="O29" i="1"/>
  <c r="N31" i="1" l="1"/>
  <c r="O30" i="1"/>
  <c r="Q30" i="1"/>
  <c r="R29" i="1"/>
  <c r="Q31" i="1" l="1"/>
  <c r="R30" i="1"/>
  <c r="N32" i="1"/>
  <c r="O31" i="1"/>
  <c r="N33" i="1" l="1"/>
  <c r="O32" i="1"/>
  <c r="Q32" i="1"/>
  <c r="R31" i="1"/>
  <c r="Q33" i="1" l="1"/>
  <c r="R32" i="1"/>
  <c r="N34" i="1"/>
  <c r="O33" i="1"/>
  <c r="N35" i="1" l="1"/>
  <c r="O34" i="1"/>
  <c r="Q34" i="1"/>
  <c r="R33" i="1"/>
  <c r="Q35" i="1" l="1"/>
  <c r="R34" i="1"/>
  <c r="N36" i="1"/>
  <c r="O35" i="1"/>
  <c r="N37" i="1" l="1"/>
  <c r="O36" i="1"/>
  <c r="Q36" i="1"/>
  <c r="R35" i="1"/>
  <c r="Q37" i="1" l="1"/>
  <c r="R36" i="1"/>
  <c r="N38" i="1"/>
  <c r="O37" i="1"/>
  <c r="Q38" i="1" l="1"/>
  <c r="R37" i="1"/>
  <c r="N39" i="1"/>
  <c r="O38" i="1"/>
  <c r="N40" i="1" l="1"/>
  <c r="O39" i="1"/>
  <c r="Q39" i="1"/>
  <c r="R38" i="1"/>
  <c r="Q40" i="1" l="1"/>
  <c r="R39" i="1"/>
  <c r="N41" i="1"/>
  <c r="O40" i="1"/>
  <c r="N42" i="1" l="1"/>
  <c r="O41" i="1"/>
  <c r="Q41" i="1"/>
  <c r="R40" i="1"/>
  <c r="Q42" i="1" l="1"/>
  <c r="R41" i="1"/>
  <c r="N43" i="1"/>
  <c r="O42" i="1"/>
  <c r="N44" i="1" l="1"/>
  <c r="O43" i="1"/>
  <c r="Q43" i="1"/>
  <c r="R42" i="1"/>
  <c r="N45" i="1" l="1"/>
  <c r="O44" i="1"/>
  <c r="Q44" i="1"/>
  <c r="R43" i="1"/>
  <c r="N46" i="1" l="1"/>
  <c r="O45" i="1"/>
  <c r="Q45" i="1"/>
  <c r="R44" i="1"/>
  <c r="N47" i="1" l="1"/>
  <c r="O46" i="1"/>
  <c r="Q46" i="1"/>
  <c r="R45" i="1"/>
  <c r="N48" i="1" l="1"/>
  <c r="O47" i="1"/>
  <c r="Q47" i="1"/>
  <c r="R46" i="1"/>
  <c r="Q48" i="1" l="1"/>
  <c r="R47" i="1"/>
  <c r="N49" i="1"/>
  <c r="O48" i="1"/>
  <c r="Q49" i="1" l="1"/>
  <c r="R48" i="1"/>
  <c r="N50" i="1"/>
  <c r="O49" i="1"/>
  <c r="Q50" i="1" l="1"/>
  <c r="R49" i="1"/>
  <c r="N51" i="1"/>
  <c r="O50" i="1"/>
  <c r="Q51" i="1" l="1"/>
  <c r="R50" i="1"/>
  <c r="N52" i="1"/>
  <c r="O51" i="1"/>
  <c r="Q52" i="1" l="1"/>
  <c r="R51" i="1"/>
  <c r="N53" i="1"/>
  <c r="O52" i="1"/>
  <c r="Q53" i="1" l="1"/>
  <c r="R52" i="1"/>
  <c r="N54" i="1"/>
  <c r="O53" i="1"/>
  <c r="Q54" i="1" l="1"/>
  <c r="R53" i="1"/>
  <c r="N55" i="1"/>
  <c r="O54" i="1"/>
  <c r="Q55" i="1" l="1"/>
  <c r="R54" i="1"/>
  <c r="N56" i="1"/>
  <c r="O55" i="1"/>
  <c r="Q56" i="1" l="1"/>
  <c r="R55" i="1"/>
  <c r="N57" i="1"/>
  <c r="O56" i="1"/>
  <c r="Q57" i="1" l="1"/>
  <c r="R56" i="1"/>
  <c r="N58" i="1"/>
  <c r="O57" i="1"/>
  <c r="Q58" i="1" l="1"/>
  <c r="R58" i="1" s="1"/>
  <c r="R57" i="1"/>
  <c r="N59" i="1"/>
  <c r="O58" i="1"/>
  <c r="N60" i="1" l="1"/>
  <c r="O59" i="1"/>
  <c r="N61" i="1" l="1"/>
  <c r="O60" i="1"/>
  <c r="N62" i="1" l="1"/>
  <c r="O61" i="1"/>
  <c r="N63" i="1" l="1"/>
  <c r="O62" i="1"/>
  <c r="N64" i="1" l="1"/>
  <c r="O64" i="1" s="1"/>
  <c r="O63" i="1"/>
</calcChain>
</file>

<file path=xl/sharedStrings.xml><?xml version="1.0" encoding="utf-8"?>
<sst xmlns="http://schemas.openxmlformats.org/spreadsheetml/2006/main" count="113" uniqueCount="95">
  <si>
    <t>3 WD</t>
  </si>
  <si>
    <t>TOTAL</t>
  </si>
  <si>
    <t>CW</t>
  </si>
  <si>
    <t>SIZE X</t>
  </si>
  <si>
    <t>SIZE Y</t>
  </si>
  <si>
    <t>QTY</t>
  </si>
  <si>
    <t>SQ.MTR</t>
  </si>
  <si>
    <t>RC</t>
  </si>
  <si>
    <t>5 WD</t>
  </si>
  <si>
    <t>7 WD</t>
  </si>
  <si>
    <t>PG</t>
  </si>
  <si>
    <t>RANGE</t>
  </si>
  <si>
    <t>CALCULATIONS</t>
  </si>
  <si>
    <t xml:space="preserve"> </t>
  </si>
  <si>
    <t>ITEM NO 1</t>
  </si>
  <si>
    <t>ITEM NO 2</t>
  </si>
  <si>
    <t>ITEM NO 3</t>
  </si>
  <si>
    <t>ITEM NO 4</t>
  </si>
  <si>
    <t>ITEM NO 5</t>
  </si>
  <si>
    <t>ITEM NO 6</t>
  </si>
  <si>
    <t>ITEM NO 7</t>
  </si>
  <si>
    <t>ITEM NO 8</t>
  </si>
  <si>
    <t>ITEM NO 9</t>
  </si>
  <si>
    <t>ITEM NO 10</t>
  </si>
  <si>
    <t>ITEM NO 11</t>
  </si>
  <si>
    <t>ITEM NO 12</t>
  </si>
  <si>
    <t>ITEM NO 13</t>
  </si>
  <si>
    <t>ITEM NO 14</t>
  </si>
  <si>
    <t>ITEM NO 15</t>
  </si>
  <si>
    <t>ITEM NO 16</t>
  </si>
  <si>
    <t>ITEM NO 17</t>
  </si>
  <si>
    <t>ITEM NO 18</t>
  </si>
  <si>
    <t>ITEM NO 19</t>
  </si>
  <si>
    <t>ITEM NO 20</t>
  </si>
  <si>
    <t>ITEM NO 21</t>
  </si>
  <si>
    <t>ITEM NO 22</t>
  </si>
  <si>
    <t>ITEM NO 23</t>
  </si>
  <si>
    <t>ITEM NO 24</t>
  </si>
  <si>
    <t>ITEM NO 25</t>
  </si>
  <si>
    <t>ITEM NO 26</t>
  </si>
  <si>
    <t>ITEM NO 27</t>
  </si>
  <si>
    <t>ITEM NO 28</t>
  </si>
  <si>
    <t>ITEM NO 29</t>
  </si>
  <si>
    <t>ITEM NO 30</t>
  </si>
  <si>
    <t>ITEM NO 31</t>
  </si>
  <si>
    <t>ITEM NO 32</t>
  </si>
  <si>
    <t>ITEM NO 33</t>
  </si>
  <si>
    <t>ITEM NO 34</t>
  </si>
  <si>
    <t>ITEM NO 35</t>
  </si>
  <si>
    <t>ITEM NO 36</t>
  </si>
  <si>
    <t>ITEM NO 37</t>
  </si>
  <si>
    <t>ITEM NO 38</t>
  </si>
  <si>
    <t>ITEM NO 39</t>
  </si>
  <si>
    <t>ITEM NO 40</t>
  </si>
  <si>
    <t>ITEM NO 41</t>
  </si>
  <si>
    <t>ITEM NO 42</t>
  </si>
  <si>
    <t>ITEM NO 43</t>
  </si>
  <si>
    <t>ITEM NO 44</t>
  </si>
  <si>
    <t>ITEM NO 45</t>
  </si>
  <si>
    <t>ITEM NO 46</t>
  </si>
  <si>
    <t>ITEM NO 47</t>
  </si>
  <si>
    <t>ITEM NO 48</t>
  </si>
  <si>
    <t>ITEM NO 49</t>
  </si>
  <si>
    <t>ITEM NO 50</t>
  </si>
  <si>
    <t>ITEM NO 51</t>
  </si>
  <si>
    <t>ITEM NO 52</t>
  </si>
  <si>
    <t>ITEM NO 53</t>
  </si>
  <si>
    <t>ITEM NO 54</t>
  </si>
  <si>
    <t>ITEM NO 55</t>
  </si>
  <si>
    <t>ITEM NO 56</t>
  </si>
  <si>
    <t>ITEM NO 57</t>
  </si>
  <si>
    <t>ITEM NO 58</t>
  </si>
  <si>
    <t>ITEM NO 59</t>
  </si>
  <si>
    <t>ITEM NO 60</t>
  </si>
  <si>
    <t>ITEM NO 61</t>
  </si>
  <si>
    <t>ITEM NO 62</t>
  </si>
  <si>
    <t>ITEM NO 63</t>
  </si>
  <si>
    <t>ITEM NO 64</t>
  </si>
  <si>
    <t>ITEM NO 65</t>
  </si>
  <si>
    <t>ITEM NO 66</t>
  </si>
  <si>
    <t>ITEM NO 67</t>
  </si>
  <si>
    <t>ITEM NO 68</t>
  </si>
  <si>
    <t>ITEM NO 69</t>
  </si>
  <si>
    <t>ITEM NO 70</t>
  </si>
  <si>
    <t>ITEM NO 71</t>
  </si>
  <si>
    <t>ITEM NO 72</t>
  </si>
  <si>
    <t>ITEM NO 73</t>
  </si>
  <si>
    <t>ITEM NO 74</t>
  </si>
  <si>
    <t>ITEM NO 75</t>
  </si>
  <si>
    <t>ITEM NO 76</t>
  </si>
  <si>
    <t>ITEM NO 77</t>
  </si>
  <si>
    <t>ITEM NO 78</t>
  </si>
  <si>
    <t>ITEM NO 79</t>
  </si>
  <si>
    <t>ITEM NO 80</t>
  </si>
  <si>
    <t>ABOVE 0.44 SQ.METER YOU HAVE TO SHOW POP UP ,  FOR BULK ORDER PLEASE MAIL INQUIRY ON info@pcbglobe.com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</si>
</sst>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tabSelected="1" workbookViewId="0">
      <selection activeCell="J88" sqref="J88:J89"/>
    </sheetView>
  </sheetViews>
  <sheetFormatPr defaultRowHeight="15" x14ac:dyDescent="0.25"/>
  <cols>
    <col min="1" max="1" width="16.42578125" style="25" customWidth="1"/>
    <col min="2" max="3" width="6.140625" style="2" bestFit="1" customWidth="1"/>
    <col min="4" max="4" width="11.28515625" style="2" customWidth="1"/>
    <col min="5" max="5" width="5" style="2" bestFit="1" customWidth="1"/>
    <col min="6" max="6" width="16.85546875" style="2" customWidth="1"/>
    <col min="7" max="7" width="7" style="2" bestFit="1" customWidth="1"/>
    <col min="8" max="8" width="11.5703125" style="2" customWidth="1"/>
    <col min="9" max="9" width="9.140625" style="2"/>
    <col min="10" max="10" width="9.5703125" style="2" customWidth="1"/>
    <col min="11" max="13" width="9.140625" style="2"/>
  </cols>
  <sheetData>
    <row r="1" spans="1:22" x14ac:dyDescent="0.25">
      <c r="B1" s="33" t="s">
        <v>3</v>
      </c>
      <c r="C1" s="33" t="s">
        <v>4</v>
      </c>
      <c r="D1" s="6"/>
      <c r="E1" s="33" t="s">
        <v>5</v>
      </c>
      <c r="F1" s="34" t="s">
        <v>12</v>
      </c>
      <c r="G1" s="29" t="s">
        <v>11</v>
      </c>
      <c r="H1" s="30"/>
      <c r="I1" s="33" t="s">
        <v>6</v>
      </c>
      <c r="J1" s="28" t="s">
        <v>0</v>
      </c>
      <c r="K1" s="28"/>
      <c r="L1" s="28"/>
      <c r="M1" s="28" t="s">
        <v>8</v>
      </c>
      <c r="N1" s="28"/>
      <c r="O1" s="28"/>
      <c r="P1" s="28" t="s">
        <v>9</v>
      </c>
      <c r="Q1" s="28"/>
      <c r="R1" s="28"/>
    </row>
    <row r="2" spans="1:22" x14ac:dyDescent="0.25">
      <c r="B2" s="33"/>
      <c r="C2" s="33"/>
      <c r="D2" s="6"/>
      <c r="E2" s="33"/>
      <c r="F2" s="35"/>
      <c r="G2" s="31"/>
      <c r="H2" s="32"/>
      <c r="I2" s="33"/>
      <c r="J2" s="13" t="s">
        <v>1</v>
      </c>
      <c r="K2" s="14" t="s">
        <v>1</v>
      </c>
      <c r="L2" s="14" t="s">
        <v>1</v>
      </c>
      <c r="M2" s="17" t="s">
        <v>1</v>
      </c>
      <c r="N2" s="18" t="s">
        <v>1</v>
      </c>
      <c r="O2" s="18" t="s">
        <v>1</v>
      </c>
      <c r="P2" s="21" t="s">
        <v>1</v>
      </c>
      <c r="Q2" s="22" t="s">
        <v>1</v>
      </c>
      <c r="R2" s="22" t="s">
        <v>1</v>
      </c>
    </row>
    <row r="3" spans="1:22" x14ac:dyDescent="0.25">
      <c r="B3" s="33"/>
      <c r="C3" s="33"/>
      <c r="D3" s="7"/>
      <c r="E3" s="33"/>
      <c r="F3" s="36"/>
      <c r="G3" s="31"/>
      <c r="H3" s="32"/>
      <c r="I3" s="33"/>
      <c r="J3" s="13" t="s">
        <v>2</v>
      </c>
      <c r="K3" s="14" t="s">
        <v>7</v>
      </c>
      <c r="L3" s="10" t="s">
        <v>10</v>
      </c>
      <c r="M3" s="17" t="s">
        <v>2</v>
      </c>
      <c r="N3" s="18" t="s">
        <v>7</v>
      </c>
      <c r="O3" s="10" t="s">
        <v>10</v>
      </c>
      <c r="P3" s="21" t="s">
        <v>2</v>
      </c>
      <c r="Q3" s="22" t="s">
        <v>7</v>
      </c>
      <c r="R3" s="10" t="s">
        <v>10</v>
      </c>
    </row>
    <row r="4" spans="1:22" x14ac:dyDescent="0.25">
      <c r="A4" s="26" t="s">
        <v>14</v>
      </c>
      <c r="B4" s="1">
        <v>20</v>
      </c>
      <c r="C4" s="1">
        <v>20</v>
      </c>
      <c r="D4" s="3">
        <f t="shared" ref="D4:D48" si="0">B4*C4/1000000</f>
        <v>4.0000000000000002E-4</v>
      </c>
      <c r="E4" s="8">
        <v>2</v>
      </c>
      <c r="F4" s="8">
        <f>B4*C4/1000000*E4</f>
        <v>8.0000000000000004E-4</v>
      </c>
      <c r="G4" s="8">
        <v>0</v>
      </c>
      <c r="H4" s="9">
        <v>1E-3</v>
      </c>
      <c r="I4" s="4">
        <f t="shared" ref="I4:I67" si="1">B4*C4/1000000*E4</f>
        <v>8.0000000000000004E-4</v>
      </c>
      <c r="J4" s="15">
        <v>3348</v>
      </c>
      <c r="K4" s="16">
        <v>2500</v>
      </c>
      <c r="L4" s="12">
        <f>(J4+K4)/2</f>
        <v>2924</v>
      </c>
      <c r="M4" s="19">
        <v>1873.02</v>
      </c>
      <c r="N4" s="20">
        <v>2500</v>
      </c>
      <c r="O4" s="12">
        <f>M4+N4/2</f>
        <v>3123.02</v>
      </c>
      <c r="P4" s="23">
        <v>1057.02</v>
      </c>
      <c r="Q4" s="24">
        <v>2000</v>
      </c>
      <c r="R4" s="11">
        <f>(P4+Q4)/2</f>
        <v>1528.51</v>
      </c>
    </row>
    <row r="5" spans="1:22" x14ac:dyDescent="0.25">
      <c r="A5" s="26" t="s">
        <v>15</v>
      </c>
      <c r="B5" s="1">
        <v>20</v>
      </c>
      <c r="C5" s="1">
        <v>20</v>
      </c>
      <c r="D5" s="3">
        <f t="shared" si="0"/>
        <v>4.0000000000000002E-4</v>
      </c>
      <c r="E5" s="1">
        <v>5</v>
      </c>
      <c r="F5" s="8">
        <f t="shared" ref="F5:F68" si="2">B5*C5/1000000*E5</f>
        <v>2E-3</v>
      </c>
      <c r="G5" s="8">
        <f>0.001+0.0001</f>
        <v>1.1000000000000001E-3</v>
      </c>
      <c r="H5" s="9">
        <f>0.001+0.001</f>
        <v>2E-3</v>
      </c>
      <c r="I5" s="4">
        <f t="shared" si="1"/>
        <v>2E-3</v>
      </c>
      <c r="J5" s="15">
        <v>3373</v>
      </c>
      <c r="K5" s="16">
        <v>3000</v>
      </c>
      <c r="L5" s="12">
        <f t="shared" ref="L5:L68" si="3">(J5+K5)/2</f>
        <v>3186.5</v>
      </c>
      <c r="M5" s="19">
        <v>1887</v>
      </c>
      <c r="N5" s="20">
        <v>2500</v>
      </c>
      <c r="O5" s="12">
        <f t="shared" ref="O5:O68" si="4">M5+N5/2</f>
        <v>3137</v>
      </c>
      <c r="P5" s="23">
        <v>1065</v>
      </c>
      <c r="Q5" s="24">
        <v>2000</v>
      </c>
      <c r="R5" s="11">
        <f t="shared" ref="R5:R68" si="5">(P5+Q5)/2</f>
        <v>1532.5</v>
      </c>
      <c r="V5" t="s">
        <v>13</v>
      </c>
    </row>
    <row r="6" spans="1:22" x14ac:dyDescent="0.25">
      <c r="A6" s="26" t="s">
        <v>16</v>
      </c>
      <c r="B6" s="1">
        <v>20</v>
      </c>
      <c r="C6" s="1">
        <v>20</v>
      </c>
      <c r="D6" s="3">
        <f t="shared" si="0"/>
        <v>4.0000000000000002E-4</v>
      </c>
      <c r="E6" s="1">
        <v>10</v>
      </c>
      <c r="F6" s="8">
        <f t="shared" si="2"/>
        <v>4.0000000000000001E-3</v>
      </c>
      <c r="G6" s="8">
        <f>0.002+0.0001</f>
        <v>2.0999999999999999E-3</v>
      </c>
      <c r="H6" s="9">
        <f>I6+0.0001</f>
        <v>4.1000000000000003E-3</v>
      </c>
      <c r="I6" s="4">
        <f t="shared" si="1"/>
        <v>4.0000000000000001E-3</v>
      </c>
      <c r="J6" s="15">
        <v>3410</v>
      </c>
      <c r="K6" s="16">
        <v>3000</v>
      </c>
      <c r="L6" s="12">
        <f t="shared" si="3"/>
        <v>3205</v>
      </c>
      <c r="M6" s="19">
        <v>1958</v>
      </c>
      <c r="N6" s="20">
        <v>2500</v>
      </c>
      <c r="O6" s="12">
        <f t="shared" si="4"/>
        <v>3208</v>
      </c>
      <c r="P6" s="23">
        <v>1111</v>
      </c>
      <c r="Q6" s="24">
        <v>2000</v>
      </c>
      <c r="R6" s="11">
        <f t="shared" si="5"/>
        <v>1555.5</v>
      </c>
    </row>
    <row r="7" spans="1:22" x14ac:dyDescent="0.25">
      <c r="A7" s="26" t="s">
        <v>17</v>
      </c>
      <c r="B7" s="1">
        <v>20</v>
      </c>
      <c r="C7" s="1">
        <v>20</v>
      </c>
      <c r="D7" s="3">
        <f t="shared" si="0"/>
        <v>4.0000000000000002E-4</v>
      </c>
      <c r="E7" s="3">
        <v>15</v>
      </c>
      <c r="F7" s="8">
        <f t="shared" si="2"/>
        <v>6.0000000000000001E-3</v>
      </c>
      <c r="G7" s="8">
        <f t="shared" ref="G7:G38" si="6">H6+0.0001</f>
        <v>4.2000000000000006E-3</v>
      </c>
      <c r="H7" s="9">
        <f t="shared" ref="H7:H38" si="7">I7</f>
        <v>6.0000000000000001E-3</v>
      </c>
      <c r="I7" s="4">
        <f t="shared" si="1"/>
        <v>6.0000000000000001E-3</v>
      </c>
      <c r="J7" s="15">
        <v>3396</v>
      </c>
      <c r="K7" s="16">
        <v>3000</v>
      </c>
      <c r="L7" s="12">
        <f t="shared" si="3"/>
        <v>3198</v>
      </c>
      <c r="M7" s="19">
        <v>2034</v>
      </c>
      <c r="N7" s="20">
        <v>2500</v>
      </c>
      <c r="O7" s="12">
        <f t="shared" si="4"/>
        <v>3284</v>
      </c>
      <c r="P7" s="23">
        <v>1159.05</v>
      </c>
      <c r="Q7" s="24">
        <v>2000</v>
      </c>
      <c r="R7" s="11">
        <f t="shared" si="5"/>
        <v>1579.5250000000001</v>
      </c>
    </row>
    <row r="8" spans="1:22" x14ac:dyDescent="0.25">
      <c r="A8" s="26" t="s">
        <v>18</v>
      </c>
      <c r="B8" s="1">
        <v>20</v>
      </c>
      <c r="C8" s="1">
        <v>20</v>
      </c>
      <c r="D8" s="3">
        <f t="shared" si="0"/>
        <v>4.0000000000000002E-4</v>
      </c>
      <c r="E8" s="3">
        <v>20</v>
      </c>
      <c r="F8" s="8">
        <f t="shared" si="2"/>
        <v>8.0000000000000002E-3</v>
      </c>
      <c r="G8" s="8">
        <f t="shared" si="6"/>
        <v>6.1000000000000004E-3</v>
      </c>
      <c r="H8" s="9">
        <f t="shared" si="7"/>
        <v>8.0000000000000002E-3</v>
      </c>
      <c r="I8" s="4">
        <f t="shared" si="1"/>
        <v>8.0000000000000002E-3</v>
      </c>
      <c r="J8" s="15">
        <v>3508</v>
      </c>
      <c r="K8" s="16">
        <v>3000</v>
      </c>
      <c r="L8" s="12">
        <f t="shared" si="3"/>
        <v>3254</v>
      </c>
      <c r="M8" s="19">
        <v>2081</v>
      </c>
      <c r="N8" s="20">
        <v>2500</v>
      </c>
      <c r="O8" s="12">
        <f t="shared" si="4"/>
        <v>3331</v>
      </c>
      <c r="P8" s="23">
        <v>1210</v>
      </c>
      <c r="Q8" s="24">
        <v>2000</v>
      </c>
      <c r="R8" s="11">
        <f t="shared" si="5"/>
        <v>1605</v>
      </c>
    </row>
    <row r="9" spans="1:22" x14ac:dyDescent="0.25">
      <c r="A9" s="26" t="s">
        <v>19</v>
      </c>
      <c r="B9" s="1">
        <v>20</v>
      </c>
      <c r="C9" s="1">
        <v>20</v>
      </c>
      <c r="D9" s="3">
        <f t="shared" si="0"/>
        <v>4.0000000000000002E-4</v>
      </c>
      <c r="E9" s="3">
        <v>25</v>
      </c>
      <c r="F9" s="8">
        <f t="shared" si="2"/>
        <v>0.01</v>
      </c>
      <c r="G9" s="8">
        <f t="shared" si="6"/>
        <v>8.0999999999999996E-3</v>
      </c>
      <c r="H9" s="9">
        <f t="shared" si="7"/>
        <v>0.01</v>
      </c>
      <c r="I9" s="4">
        <f t="shared" si="1"/>
        <v>0.01</v>
      </c>
      <c r="J9" s="15">
        <v>3615</v>
      </c>
      <c r="K9" s="16">
        <v>3000</v>
      </c>
      <c r="L9" s="12">
        <f t="shared" si="3"/>
        <v>3307.5</v>
      </c>
      <c r="M9" s="19">
        <v>2134</v>
      </c>
      <c r="N9" s="20">
        <v>2500</v>
      </c>
      <c r="O9" s="12">
        <f t="shared" si="4"/>
        <v>3384</v>
      </c>
      <c r="P9" s="23">
        <v>1255</v>
      </c>
      <c r="Q9" s="24">
        <v>2000</v>
      </c>
      <c r="R9" s="11">
        <f t="shared" si="5"/>
        <v>1627.5</v>
      </c>
    </row>
    <row r="10" spans="1:22" x14ac:dyDescent="0.25">
      <c r="A10" s="26" t="s">
        <v>20</v>
      </c>
      <c r="B10" s="1">
        <v>20</v>
      </c>
      <c r="C10" s="1">
        <v>20</v>
      </c>
      <c r="D10" s="3">
        <f t="shared" si="0"/>
        <v>4.0000000000000002E-4</v>
      </c>
      <c r="E10" s="3">
        <v>30</v>
      </c>
      <c r="F10" s="8">
        <f t="shared" si="2"/>
        <v>1.2E-2</v>
      </c>
      <c r="G10" s="8">
        <f t="shared" si="6"/>
        <v>1.01E-2</v>
      </c>
      <c r="H10" s="9">
        <f t="shared" si="7"/>
        <v>1.2E-2</v>
      </c>
      <c r="I10" s="4">
        <f t="shared" si="1"/>
        <v>1.2E-2</v>
      </c>
      <c r="J10" s="15">
        <v>3785.1</v>
      </c>
      <c r="K10" s="16">
        <v>3012</v>
      </c>
      <c r="L10" s="12">
        <f t="shared" si="3"/>
        <v>3398.55</v>
      </c>
      <c r="M10" s="19">
        <v>2234.1</v>
      </c>
      <c r="N10" s="20">
        <v>2500</v>
      </c>
      <c r="O10" s="12">
        <f t="shared" si="4"/>
        <v>3484.1</v>
      </c>
      <c r="P10" s="23">
        <v>1314</v>
      </c>
      <c r="Q10" s="24">
        <v>2000</v>
      </c>
      <c r="R10" s="11">
        <f t="shared" si="5"/>
        <v>1657</v>
      </c>
    </row>
    <row r="11" spans="1:22" x14ac:dyDescent="0.25">
      <c r="A11" s="26" t="s">
        <v>21</v>
      </c>
      <c r="B11" s="1">
        <v>20</v>
      </c>
      <c r="C11" s="1">
        <v>20</v>
      </c>
      <c r="D11" s="3">
        <f t="shared" si="0"/>
        <v>4.0000000000000002E-4</v>
      </c>
      <c r="E11" s="3">
        <v>35</v>
      </c>
      <c r="F11" s="8">
        <f t="shared" si="2"/>
        <v>1.4E-2</v>
      </c>
      <c r="G11" s="8">
        <f t="shared" si="6"/>
        <v>1.21E-2</v>
      </c>
      <c r="H11" s="9">
        <f t="shared" si="7"/>
        <v>1.4E-2</v>
      </c>
      <c r="I11" s="4">
        <f t="shared" si="1"/>
        <v>1.4E-2</v>
      </c>
      <c r="J11" s="15">
        <v>3891.3</v>
      </c>
      <c r="K11" s="16">
        <v>3060</v>
      </c>
      <c r="L11" s="12">
        <f t="shared" si="3"/>
        <v>3475.65</v>
      </c>
      <c r="M11" s="19">
        <v>2297.0499999999997</v>
      </c>
      <c r="N11" s="20">
        <v>2500</v>
      </c>
      <c r="O11" s="12">
        <f t="shared" si="4"/>
        <v>3547.0499999999997</v>
      </c>
      <c r="P11" s="23">
        <v>1351</v>
      </c>
      <c r="Q11" s="24">
        <v>2000</v>
      </c>
      <c r="R11" s="11">
        <f t="shared" si="5"/>
        <v>1675.5</v>
      </c>
    </row>
    <row r="12" spans="1:22" x14ac:dyDescent="0.25">
      <c r="A12" s="26" t="s">
        <v>22</v>
      </c>
      <c r="B12" s="1">
        <v>20</v>
      </c>
      <c r="C12" s="1">
        <v>20</v>
      </c>
      <c r="D12" s="3">
        <f t="shared" si="0"/>
        <v>4.0000000000000002E-4</v>
      </c>
      <c r="E12" s="3">
        <v>40</v>
      </c>
      <c r="F12" s="8">
        <f t="shared" si="2"/>
        <v>1.6E-2</v>
      </c>
      <c r="G12" s="8">
        <f t="shared" si="6"/>
        <v>1.41E-2</v>
      </c>
      <c r="H12" s="9">
        <f t="shared" si="7"/>
        <v>1.6E-2</v>
      </c>
      <c r="I12" s="4">
        <f t="shared" si="1"/>
        <v>1.6E-2</v>
      </c>
      <c r="J12" s="15">
        <v>4056</v>
      </c>
      <c r="K12" s="16">
        <v>3140</v>
      </c>
      <c r="L12" s="12">
        <f t="shared" si="3"/>
        <v>3598</v>
      </c>
      <c r="M12" s="19">
        <v>2394</v>
      </c>
      <c r="N12" s="20">
        <v>2560</v>
      </c>
      <c r="O12" s="12">
        <f t="shared" si="4"/>
        <v>3674</v>
      </c>
      <c r="P12" s="23">
        <v>1408.4</v>
      </c>
      <c r="Q12" s="24">
        <v>2000</v>
      </c>
      <c r="R12" s="11">
        <f t="shared" si="5"/>
        <v>1704.2</v>
      </c>
    </row>
    <row r="13" spans="1:22" x14ac:dyDescent="0.25">
      <c r="A13" s="26" t="s">
        <v>23</v>
      </c>
      <c r="B13" s="1">
        <v>20</v>
      </c>
      <c r="C13" s="1">
        <v>20</v>
      </c>
      <c r="D13" s="3">
        <f t="shared" si="0"/>
        <v>4.0000000000000002E-4</v>
      </c>
      <c r="E13" s="3">
        <v>45</v>
      </c>
      <c r="F13" s="8">
        <f t="shared" si="2"/>
        <v>1.8000000000000002E-2</v>
      </c>
      <c r="G13" s="8">
        <f t="shared" si="6"/>
        <v>1.61E-2</v>
      </c>
      <c r="H13" s="9">
        <f t="shared" si="7"/>
        <v>1.8000000000000002E-2</v>
      </c>
      <c r="I13" s="4">
        <f t="shared" si="1"/>
        <v>1.8000000000000002E-2</v>
      </c>
      <c r="J13" s="15">
        <v>4200.3</v>
      </c>
      <c r="K13" s="16">
        <v>3220</v>
      </c>
      <c r="L13" s="12">
        <f t="shared" si="3"/>
        <v>3710.15</v>
      </c>
      <c r="M13" s="19">
        <v>2479.0500000000002</v>
      </c>
      <c r="N13" s="20">
        <v>2630</v>
      </c>
      <c r="O13" s="12">
        <f t="shared" si="4"/>
        <v>3794.05</v>
      </c>
      <c r="P13" s="23">
        <v>1459.35</v>
      </c>
      <c r="Q13" s="24">
        <v>2040</v>
      </c>
      <c r="R13" s="11">
        <f t="shared" si="5"/>
        <v>1749.675</v>
      </c>
    </row>
    <row r="14" spans="1:22" x14ac:dyDescent="0.25">
      <c r="A14" s="26" t="s">
        <v>24</v>
      </c>
      <c r="B14" s="1">
        <v>20</v>
      </c>
      <c r="C14" s="1">
        <v>20</v>
      </c>
      <c r="D14" s="3">
        <f t="shared" si="0"/>
        <v>4.0000000000000002E-4</v>
      </c>
      <c r="E14" s="3">
        <v>50</v>
      </c>
      <c r="F14" s="8">
        <f t="shared" si="2"/>
        <v>0.02</v>
      </c>
      <c r="G14" s="8">
        <f t="shared" si="6"/>
        <v>1.8100000000000002E-2</v>
      </c>
      <c r="H14" s="9">
        <f t="shared" si="7"/>
        <v>0.02</v>
      </c>
      <c r="I14" s="4">
        <f t="shared" si="1"/>
        <v>0.02</v>
      </c>
      <c r="J14" s="15">
        <v>4263</v>
      </c>
      <c r="K14" s="16">
        <v>3300</v>
      </c>
      <c r="L14" s="12">
        <f t="shared" si="3"/>
        <v>3781.5</v>
      </c>
      <c r="M14" s="19">
        <v>2516</v>
      </c>
      <c r="N14" s="20">
        <v>2700</v>
      </c>
      <c r="O14" s="12">
        <f t="shared" si="4"/>
        <v>3866</v>
      </c>
      <c r="P14" s="23">
        <v>1480</v>
      </c>
      <c r="Q14" s="24">
        <v>2100</v>
      </c>
      <c r="R14" s="11">
        <f t="shared" si="5"/>
        <v>1790</v>
      </c>
    </row>
    <row r="15" spans="1:22" x14ac:dyDescent="0.25">
      <c r="A15" s="26" t="s">
        <v>25</v>
      </c>
      <c r="B15" s="1">
        <v>20</v>
      </c>
      <c r="C15" s="1">
        <v>20</v>
      </c>
      <c r="D15" s="3">
        <f t="shared" si="0"/>
        <v>4.0000000000000002E-4</v>
      </c>
      <c r="E15" s="3">
        <v>55</v>
      </c>
      <c r="F15" s="8">
        <f t="shared" si="2"/>
        <v>2.2000000000000002E-2</v>
      </c>
      <c r="G15" s="8">
        <f t="shared" si="6"/>
        <v>2.01E-2</v>
      </c>
      <c r="H15" s="9">
        <f t="shared" si="7"/>
        <v>2.2000000000000002E-2</v>
      </c>
      <c r="I15" s="4">
        <f t="shared" si="1"/>
        <v>2.2000000000000002E-2</v>
      </c>
      <c r="J15" s="15">
        <v>4436.3</v>
      </c>
      <c r="K15" s="16">
        <v>3380</v>
      </c>
      <c r="L15" s="12">
        <f t="shared" si="3"/>
        <v>3908.15</v>
      </c>
      <c r="M15" s="19">
        <v>2618</v>
      </c>
      <c r="N15" s="20">
        <v>2770</v>
      </c>
      <c r="O15" s="12">
        <f t="shared" si="4"/>
        <v>4003</v>
      </c>
      <c r="P15" s="23">
        <v>1540</v>
      </c>
      <c r="Q15" s="24">
        <v>2160</v>
      </c>
      <c r="R15" s="11">
        <f t="shared" si="5"/>
        <v>1850</v>
      </c>
    </row>
    <row r="16" spans="1:22" x14ac:dyDescent="0.25">
      <c r="A16" s="26" t="s">
        <v>26</v>
      </c>
      <c r="B16" s="1">
        <v>20</v>
      </c>
      <c r="C16" s="1">
        <v>20</v>
      </c>
      <c r="D16" s="3">
        <f t="shared" si="0"/>
        <v>4.0000000000000002E-4</v>
      </c>
      <c r="E16" s="3">
        <v>60</v>
      </c>
      <c r="F16" s="8">
        <f t="shared" si="2"/>
        <v>2.4E-2</v>
      </c>
      <c r="G16" s="8">
        <f t="shared" si="6"/>
        <v>2.2100000000000002E-2</v>
      </c>
      <c r="H16" s="9">
        <f t="shared" si="7"/>
        <v>2.4E-2</v>
      </c>
      <c r="I16" s="4">
        <f t="shared" si="1"/>
        <v>2.4E-2</v>
      </c>
      <c r="J16" s="15">
        <v>4562.4000000000005</v>
      </c>
      <c r="K16" s="16">
        <v>3460</v>
      </c>
      <c r="L16" s="12">
        <f t="shared" si="3"/>
        <v>4011.2000000000003</v>
      </c>
      <c r="M16" s="19">
        <v>2693.4</v>
      </c>
      <c r="N16" s="20">
        <v>2840</v>
      </c>
      <c r="O16" s="12">
        <f t="shared" si="4"/>
        <v>4113.3999999999996</v>
      </c>
      <c r="P16" s="23">
        <v>1585.2</v>
      </c>
      <c r="Q16" s="24">
        <v>2220</v>
      </c>
      <c r="R16" s="11">
        <f t="shared" si="5"/>
        <v>1902.6</v>
      </c>
    </row>
    <row r="17" spans="1:18" x14ac:dyDescent="0.25">
      <c r="A17" s="26" t="s">
        <v>27</v>
      </c>
      <c r="B17" s="1">
        <v>20</v>
      </c>
      <c r="C17" s="1">
        <v>20</v>
      </c>
      <c r="D17" s="3">
        <f t="shared" si="0"/>
        <v>4.0000000000000002E-4</v>
      </c>
      <c r="E17" s="3">
        <v>65</v>
      </c>
      <c r="F17" s="8">
        <f t="shared" si="2"/>
        <v>2.6000000000000002E-2</v>
      </c>
      <c r="G17" s="8">
        <f t="shared" si="6"/>
        <v>2.41E-2</v>
      </c>
      <c r="H17" s="9">
        <f t="shared" si="7"/>
        <v>2.6000000000000002E-2</v>
      </c>
      <c r="I17" s="4">
        <f t="shared" si="1"/>
        <v>2.6000000000000002E-2</v>
      </c>
      <c r="J17" s="15">
        <v>4680</v>
      </c>
      <c r="K17" s="16">
        <v>3540</v>
      </c>
      <c r="L17" s="12">
        <f t="shared" si="3"/>
        <v>4110</v>
      </c>
      <c r="M17" s="19">
        <v>2763.15</v>
      </c>
      <c r="N17" s="20">
        <v>2910</v>
      </c>
      <c r="O17" s="12">
        <f t="shared" si="4"/>
        <v>4218.1499999999996</v>
      </c>
      <c r="P17" s="23">
        <v>1625</v>
      </c>
      <c r="Q17" s="24">
        <v>2280</v>
      </c>
      <c r="R17" s="11">
        <f t="shared" si="5"/>
        <v>1952.5</v>
      </c>
    </row>
    <row r="18" spans="1:18" x14ac:dyDescent="0.25">
      <c r="A18" s="26" t="s">
        <v>28</v>
      </c>
      <c r="B18" s="1">
        <v>20</v>
      </c>
      <c r="C18" s="1">
        <v>20</v>
      </c>
      <c r="D18" s="3">
        <f t="shared" si="0"/>
        <v>4.0000000000000002E-4</v>
      </c>
      <c r="E18" s="3">
        <v>70</v>
      </c>
      <c r="F18" s="8">
        <f t="shared" si="2"/>
        <v>2.8000000000000001E-2</v>
      </c>
      <c r="G18" s="8">
        <f t="shared" si="6"/>
        <v>2.6100000000000002E-2</v>
      </c>
      <c r="H18" s="9">
        <f t="shared" si="7"/>
        <v>2.8000000000000001E-2</v>
      </c>
      <c r="I18" s="4">
        <f t="shared" si="1"/>
        <v>2.8000000000000001E-2</v>
      </c>
      <c r="J18" s="15">
        <v>4799.2</v>
      </c>
      <c r="K18" s="16">
        <v>3620</v>
      </c>
      <c r="L18" s="12">
        <f t="shared" si="3"/>
        <v>4209.6000000000004</v>
      </c>
      <c r="M18" s="19">
        <v>2833.6</v>
      </c>
      <c r="N18" s="20">
        <v>2980</v>
      </c>
      <c r="O18" s="12">
        <f t="shared" si="4"/>
        <v>4323.6000000000004</v>
      </c>
      <c r="P18" s="23">
        <v>1666</v>
      </c>
      <c r="Q18" s="24">
        <v>2340</v>
      </c>
      <c r="R18" s="11">
        <f t="shared" si="5"/>
        <v>2003</v>
      </c>
    </row>
    <row r="19" spans="1:18" x14ac:dyDescent="0.25">
      <c r="A19" s="26" t="s">
        <v>29</v>
      </c>
      <c r="B19" s="1">
        <v>20</v>
      </c>
      <c r="C19" s="1">
        <v>20</v>
      </c>
      <c r="D19" s="3">
        <f t="shared" si="0"/>
        <v>4.0000000000000002E-4</v>
      </c>
      <c r="E19" s="3">
        <v>75</v>
      </c>
      <c r="F19" s="8">
        <f t="shared" si="2"/>
        <v>3.0000000000000002E-2</v>
      </c>
      <c r="G19" s="8">
        <f t="shared" si="6"/>
        <v>2.81E-2</v>
      </c>
      <c r="H19" s="9">
        <f t="shared" si="7"/>
        <v>3.0000000000000002E-2</v>
      </c>
      <c r="I19" s="4">
        <f t="shared" si="1"/>
        <v>3.0000000000000002E-2</v>
      </c>
      <c r="J19" s="15">
        <v>4882.5</v>
      </c>
      <c r="K19" s="16">
        <v>3700</v>
      </c>
      <c r="L19" s="12">
        <f t="shared" si="3"/>
        <v>4291.25</v>
      </c>
      <c r="M19" s="19">
        <v>2882.25</v>
      </c>
      <c r="N19" s="20">
        <v>3050</v>
      </c>
      <c r="O19" s="12">
        <f t="shared" si="4"/>
        <v>4407.25</v>
      </c>
      <c r="P19" s="23">
        <v>1695</v>
      </c>
      <c r="Q19" s="24">
        <v>2400</v>
      </c>
      <c r="R19" s="11">
        <f t="shared" si="5"/>
        <v>2047.5</v>
      </c>
    </row>
    <row r="20" spans="1:18" x14ac:dyDescent="0.25">
      <c r="A20" s="26" t="s">
        <v>30</v>
      </c>
      <c r="B20" s="1">
        <v>20</v>
      </c>
      <c r="C20" s="1">
        <v>20</v>
      </c>
      <c r="D20" s="3">
        <f t="shared" si="0"/>
        <v>4.0000000000000002E-4</v>
      </c>
      <c r="E20" s="3">
        <v>80</v>
      </c>
      <c r="F20" s="8">
        <f t="shared" si="2"/>
        <v>3.2000000000000001E-2</v>
      </c>
      <c r="G20" s="8">
        <f t="shared" si="6"/>
        <v>3.0100000000000002E-2</v>
      </c>
      <c r="H20" s="9">
        <f t="shared" si="7"/>
        <v>3.2000000000000001E-2</v>
      </c>
      <c r="I20" s="4">
        <f t="shared" si="1"/>
        <v>3.2000000000000001E-2</v>
      </c>
      <c r="J20" s="15">
        <v>4968</v>
      </c>
      <c r="K20" s="16">
        <v>3780</v>
      </c>
      <c r="L20" s="12">
        <f t="shared" si="3"/>
        <v>4374</v>
      </c>
      <c r="M20" s="19">
        <v>2933.6000000000004</v>
      </c>
      <c r="N20" s="20">
        <v>3120</v>
      </c>
      <c r="O20" s="12">
        <f t="shared" si="4"/>
        <v>4493.6000000000004</v>
      </c>
      <c r="P20" s="23">
        <v>1725.6</v>
      </c>
      <c r="Q20" s="24">
        <f t="shared" ref="Q20:Q58" si="8">Q19+60</f>
        <v>2460</v>
      </c>
      <c r="R20" s="11">
        <f t="shared" si="5"/>
        <v>2092.8000000000002</v>
      </c>
    </row>
    <row r="21" spans="1:18" x14ac:dyDescent="0.25">
      <c r="A21" s="26" t="s">
        <v>31</v>
      </c>
      <c r="B21" s="1">
        <v>20</v>
      </c>
      <c r="C21" s="1">
        <v>20</v>
      </c>
      <c r="D21" s="3">
        <f t="shared" si="0"/>
        <v>4.0000000000000002E-4</v>
      </c>
      <c r="E21" s="3">
        <v>85</v>
      </c>
      <c r="F21" s="8">
        <f t="shared" si="2"/>
        <v>3.4000000000000002E-2</v>
      </c>
      <c r="G21" s="8">
        <f t="shared" si="6"/>
        <v>3.2100000000000004E-2</v>
      </c>
      <c r="H21" s="9">
        <f t="shared" si="7"/>
        <v>3.4000000000000002E-2</v>
      </c>
      <c r="I21" s="4">
        <f t="shared" si="1"/>
        <v>3.4000000000000002E-2</v>
      </c>
      <c r="J21" s="15">
        <v>5024.3500000000004</v>
      </c>
      <c r="K21" s="16">
        <v>3860</v>
      </c>
      <c r="L21" s="12">
        <f t="shared" si="3"/>
        <v>4442.1750000000002</v>
      </c>
      <c r="M21" s="19">
        <v>2966.5</v>
      </c>
      <c r="N21" s="20">
        <f t="shared" ref="N21:N64" si="9">N20+70</f>
        <v>3190</v>
      </c>
      <c r="O21" s="12">
        <f t="shared" si="4"/>
        <v>4561.5</v>
      </c>
      <c r="P21" s="23">
        <v>1745.0500000000002</v>
      </c>
      <c r="Q21" s="24">
        <f t="shared" si="8"/>
        <v>2520</v>
      </c>
      <c r="R21" s="11">
        <f t="shared" si="5"/>
        <v>2132.5250000000001</v>
      </c>
    </row>
    <row r="22" spans="1:18" x14ac:dyDescent="0.25">
      <c r="A22" s="26" t="s">
        <v>32</v>
      </c>
      <c r="B22" s="1">
        <v>20</v>
      </c>
      <c r="C22" s="1">
        <v>20</v>
      </c>
      <c r="D22" s="3">
        <f t="shared" si="0"/>
        <v>4.0000000000000002E-4</v>
      </c>
      <c r="E22" s="3">
        <v>90</v>
      </c>
      <c r="F22" s="8">
        <f t="shared" si="2"/>
        <v>3.6000000000000004E-2</v>
      </c>
      <c r="G22" s="8">
        <f t="shared" si="6"/>
        <v>3.4100000000000005E-2</v>
      </c>
      <c r="H22" s="9">
        <f t="shared" si="7"/>
        <v>3.6000000000000004E-2</v>
      </c>
      <c r="I22" s="4">
        <f t="shared" si="1"/>
        <v>3.6000000000000004E-2</v>
      </c>
      <c r="J22" s="15">
        <v>5131.8</v>
      </c>
      <c r="K22" s="16">
        <v>3940</v>
      </c>
      <c r="L22" s="12">
        <f t="shared" si="3"/>
        <v>4535.8999999999996</v>
      </c>
      <c r="M22" s="19">
        <v>3029.3999999999996</v>
      </c>
      <c r="N22" s="20">
        <f t="shared" si="9"/>
        <v>3260</v>
      </c>
      <c r="O22" s="12">
        <f t="shared" si="4"/>
        <v>4659.3999999999996</v>
      </c>
      <c r="P22" s="23">
        <v>1782</v>
      </c>
      <c r="Q22" s="24">
        <f t="shared" si="8"/>
        <v>2580</v>
      </c>
      <c r="R22" s="11">
        <f t="shared" si="5"/>
        <v>2181</v>
      </c>
    </row>
    <row r="23" spans="1:18" x14ac:dyDescent="0.25">
      <c r="A23" s="26" t="s">
        <v>33</v>
      </c>
      <c r="B23" s="1">
        <v>20</v>
      </c>
      <c r="C23" s="1">
        <v>20</v>
      </c>
      <c r="D23" s="3">
        <f t="shared" si="0"/>
        <v>4.0000000000000002E-4</v>
      </c>
      <c r="E23" s="3">
        <v>95</v>
      </c>
      <c r="F23" s="8">
        <f t="shared" si="2"/>
        <v>3.7999999999999999E-2</v>
      </c>
      <c r="G23" s="8">
        <f t="shared" si="6"/>
        <v>3.6100000000000007E-2</v>
      </c>
      <c r="H23" s="9">
        <f t="shared" si="7"/>
        <v>3.7999999999999999E-2</v>
      </c>
      <c r="I23" s="4">
        <f t="shared" si="1"/>
        <v>3.7999999999999999E-2</v>
      </c>
      <c r="J23" s="15">
        <v>5302.9</v>
      </c>
      <c r="K23" s="16">
        <v>4020</v>
      </c>
      <c r="L23" s="12">
        <f t="shared" si="3"/>
        <v>4661.45</v>
      </c>
      <c r="M23" s="19">
        <v>3130.2500000000005</v>
      </c>
      <c r="N23" s="20">
        <f t="shared" si="9"/>
        <v>3330</v>
      </c>
      <c r="O23" s="12">
        <f t="shared" si="4"/>
        <v>4795.25</v>
      </c>
      <c r="P23" s="23">
        <v>1841.1</v>
      </c>
      <c r="Q23" s="24">
        <f t="shared" si="8"/>
        <v>2640</v>
      </c>
      <c r="R23" s="11">
        <f t="shared" si="5"/>
        <v>2240.5500000000002</v>
      </c>
    </row>
    <row r="24" spans="1:18" x14ac:dyDescent="0.25">
      <c r="A24" s="26" t="s">
        <v>34</v>
      </c>
      <c r="B24" s="1">
        <v>20</v>
      </c>
      <c r="C24" s="1">
        <v>20</v>
      </c>
      <c r="D24" s="3">
        <f t="shared" si="0"/>
        <v>4.0000000000000002E-4</v>
      </c>
      <c r="E24" s="3">
        <v>100</v>
      </c>
      <c r="F24" s="8">
        <f t="shared" si="2"/>
        <v>0.04</v>
      </c>
      <c r="G24" s="8">
        <f t="shared" si="6"/>
        <v>3.8100000000000002E-2</v>
      </c>
      <c r="H24" s="9">
        <f t="shared" si="7"/>
        <v>0.04</v>
      </c>
      <c r="I24" s="4">
        <f t="shared" si="1"/>
        <v>0.04</v>
      </c>
      <c r="J24" s="15">
        <v>5461</v>
      </c>
      <c r="K24" s="16">
        <v>4100</v>
      </c>
      <c r="L24" s="12">
        <f t="shared" si="3"/>
        <v>4780.5</v>
      </c>
      <c r="M24" s="19">
        <v>3224</v>
      </c>
      <c r="N24" s="20">
        <f t="shared" si="9"/>
        <v>3400</v>
      </c>
      <c r="O24" s="12">
        <f t="shared" si="4"/>
        <v>4924</v>
      </c>
      <c r="P24" s="23">
        <v>1896</v>
      </c>
      <c r="Q24" s="24">
        <f t="shared" si="8"/>
        <v>2700</v>
      </c>
      <c r="R24" s="11">
        <f t="shared" si="5"/>
        <v>2298</v>
      </c>
    </row>
    <row r="25" spans="1:18" x14ac:dyDescent="0.25">
      <c r="A25" s="26" t="s">
        <v>35</v>
      </c>
      <c r="B25" s="1">
        <v>20</v>
      </c>
      <c r="C25" s="1">
        <v>20</v>
      </c>
      <c r="D25" s="3">
        <f t="shared" si="0"/>
        <v>4.0000000000000002E-4</v>
      </c>
      <c r="E25" s="3">
        <v>105</v>
      </c>
      <c r="F25" s="8">
        <f t="shared" si="2"/>
        <v>4.2000000000000003E-2</v>
      </c>
      <c r="G25" s="8">
        <f t="shared" si="6"/>
        <v>4.0100000000000004E-2</v>
      </c>
      <c r="H25" s="9">
        <f t="shared" si="7"/>
        <v>4.2000000000000003E-2</v>
      </c>
      <c r="I25" s="4">
        <f t="shared" si="1"/>
        <v>4.2000000000000003E-2</v>
      </c>
      <c r="J25" s="15">
        <v>5540.85</v>
      </c>
      <c r="K25" s="16">
        <v>4180</v>
      </c>
      <c r="L25" s="12">
        <f t="shared" si="3"/>
        <v>4860.4250000000002</v>
      </c>
      <c r="M25" s="19">
        <v>3270.75</v>
      </c>
      <c r="N25" s="20">
        <f t="shared" si="9"/>
        <v>3470</v>
      </c>
      <c r="O25" s="12">
        <f t="shared" si="4"/>
        <v>5005.75</v>
      </c>
      <c r="P25" s="23">
        <v>1924.6499999999999</v>
      </c>
      <c r="Q25" s="24">
        <f t="shared" si="8"/>
        <v>2760</v>
      </c>
      <c r="R25" s="11">
        <f t="shared" si="5"/>
        <v>2342.3249999999998</v>
      </c>
    </row>
    <row r="26" spans="1:18" x14ac:dyDescent="0.25">
      <c r="A26" s="26" t="s">
        <v>36</v>
      </c>
      <c r="B26" s="1">
        <v>20</v>
      </c>
      <c r="C26" s="1">
        <v>20</v>
      </c>
      <c r="D26" s="3">
        <f t="shared" si="0"/>
        <v>4.0000000000000002E-4</v>
      </c>
      <c r="E26" s="3">
        <v>110</v>
      </c>
      <c r="F26" s="8">
        <f t="shared" si="2"/>
        <v>4.4000000000000004E-2</v>
      </c>
      <c r="G26" s="8">
        <f t="shared" si="6"/>
        <v>4.2100000000000005E-2</v>
      </c>
      <c r="H26" s="9">
        <f t="shared" si="7"/>
        <v>4.4000000000000004E-2</v>
      </c>
      <c r="I26" s="4">
        <f t="shared" si="1"/>
        <v>4.4000000000000004E-2</v>
      </c>
      <c r="J26" s="15">
        <v>0</v>
      </c>
      <c r="K26" s="16">
        <v>4260</v>
      </c>
      <c r="L26" s="12">
        <f t="shared" si="3"/>
        <v>2130</v>
      </c>
      <c r="M26" s="19">
        <v>0</v>
      </c>
      <c r="N26" s="20">
        <f t="shared" si="9"/>
        <v>3540</v>
      </c>
      <c r="O26" s="12">
        <f t="shared" si="4"/>
        <v>1770</v>
      </c>
      <c r="P26" s="23">
        <v>0</v>
      </c>
      <c r="Q26" s="24">
        <f t="shared" si="8"/>
        <v>2820</v>
      </c>
      <c r="R26" s="11">
        <f t="shared" si="5"/>
        <v>1410</v>
      </c>
    </row>
    <row r="27" spans="1:18" x14ac:dyDescent="0.25">
      <c r="A27" s="26" t="s">
        <v>37</v>
      </c>
      <c r="B27" s="1">
        <v>20</v>
      </c>
      <c r="C27" s="1">
        <v>20</v>
      </c>
      <c r="D27" s="3">
        <f t="shared" si="0"/>
        <v>4.0000000000000002E-4</v>
      </c>
      <c r="E27" s="3">
        <v>115</v>
      </c>
      <c r="F27" s="8">
        <f t="shared" si="2"/>
        <v>4.5999999999999999E-2</v>
      </c>
      <c r="G27" s="8">
        <f t="shared" si="6"/>
        <v>4.4100000000000007E-2</v>
      </c>
      <c r="H27" s="9">
        <f t="shared" si="7"/>
        <v>4.5999999999999999E-2</v>
      </c>
      <c r="I27" s="4">
        <f t="shared" si="1"/>
        <v>4.5999999999999999E-2</v>
      </c>
      <c r="J27" s="15">
        <v>0</v>
      </c>
      <c r="K27" s="16">
        <v>4340</v>
      </c>
      <c r="L27" s="12">
        <f t="shared" si="3"/>
        <v>2170</v>
      </c>
      <c r="M27" s="19">
        <v>0</v>
      </c>
      <c r="N27" s="20">
        <f t="shared" si="9"/>
        <v>3610</v>
      </c>
      <c r="O27" s="12">
        <f t="shared" si="4"/>
        <v>1805</v>
      </c>
      <c r="P27" s="23">
        <v>0</v>
      </c>
      <c r="Q27" s="24">
        <f t="shared" si="8"/>
        <v>2880</v>
      </c>
      <c r="R27" s="11">
        <f t="shared" si="5"/>
        <v>1440</v>
      </c>
    </row>
    <row r="28" spans="1:18" x14ac:dyDescent="0.25">
      <c r="A28" s="26" t="s">
        <v>38</v>
      </c>
      <c r="B28" s="1">
        <v>20</v>
      </c>
      <c r="C28" s="1">
        <v>20</v>
      </c>
      <c r="D28" s="3">
        <f t="shared" si="0"/>
        <v>4.0000000000000002E-4</v>
      </c>
      <c r="E28" s="3">
        <v>120</v>
      </c>
      <c r="F28" s="8">
        <f t="shared" si="2"/>
        <v>4.8000000000000001E-2</v>
      </c>
      <c r="G28" s="8">
        <f t="shared" si="6"/>
        <v>4.6100000000000002E-2</v>
      </c>
      <c r="H28" s="9">
        <f t="shared" si="7"/>
        <v>4.8000000000000001E-2</v>
      </c>
      <c r="I28" s="4">
        <f t="shared" si="1"/>
        <v>4.8000000000000001E-2</v>
      </c>
      <c r="J28" s="15">
        <v>6194.4</v>
      </c>
      <c r="K28" s="16">
        <v>4420</v>
      </c>
      <c r="L28" s="12">
        <f t="shared" si="3"/>
        <v>5307.2</v>
      </c>
      <c r="M28" s="19">
        <v>3656.3999999999996</v>
      </c>
      <c r="N28" s="20">
        <f t="shared" si="9"/>
        <v>3680</v>
      </c>
      <c r="O28" s="12">
        <f t="shared" si="4"/>
        <v>5496.4</v>
      </c>
      <c r="P28" s="23">
        <v>2043.6000000000001</v>
      </c>
      <c r="Q28" s="24">
        <f t="shared" si="8"/>
        <v>2940</v>
      </c>
      <c r="R28" s="11">
        <f t="shared" si="5"/>
        <v>2491.8000000000002</v>
      </c>
    </row>
    <row r="29" spans="1:18" x14ac:dyDescent="0.25">
      <c r="A29" s="26" t="s">
        <v>39</v>
      </c>
      <c r="B29" s="1">
        <v>20</v>
      </c>
      <c r="C29" s="1">
        <v>20</v>
      </c>
      <c r="D29" s="3">
        <f t="shared" si="0"/>
        <v>4.0000000000000002E-4</v>
      </c>
      <c r="E29" s="3">
        <v>125</v>
      </c>
      <c r="F29" s="8">
        <f t="shared" si="2"/>
        <v>0.05</v>
      </c>
      <c r="G29" s="8">
        <f t="shared" si="6"/>
        <v>4.8100000000000004E-2</v>
      </c>
      <c r="H29" s="9">
        <f t="shared" si="7"/>
        <v>0.05</v>
      </c>
      <c r="I29" s="4">
        <f t="shared" si="1"/>
        <v>0.05</v>
      </c>
      <c r="J29" s="15">
        <v>0</v>
      </c>
      <c r="K29" s="16">
        <v>4500</v>
      </c>
      <c r="L29" s="12">
        <f t="shared" si="3"/>
        <v>2250</v>
      </c>
      <c r="M29" s="19">
        <v>0</v>
      </c>
      <c r="N29" s="20">
        <f t="shared" si="9"/>
        <v>3750</v>
      </c>
      <c r="O29" s="12">
        <f t="shared" si="4"/>
        <v>1875</v>
      </c>
      <c r="P29" s="23">
        <v>0</v>
      </c>
      <c r="Q29" s="24">
        <f t="shared" si="8"/>
        <v>3000</v>
      </c>
      <c r="R29" s="11">
        <f t="shared" si="5"/>
        <v>1500</v>
      </c>
    </row>
    <row r="30" spans="1:18" x14ac:dyDescent="0.25">
      <c r="A30" s="26" t="s">
        <v>40</v>
      </c>
      <c r="B30" s="1">
        <v>20</v>
      </c>
      <c r="C30" s="1">
        <v>20</v>
      </c>
      <c r="D30" s="3">
        <f t="shared" si="0"/>
        <v>4.0000000000000002E-4</v>
      </c>
      <c r="E30" s="3">
        <v>130</v>
      </c>
      <c r="F30" s="8">
        <f t="shared" si="2"/>
        <v>5.2000000000000005E-2</v>
      </c>
      <c r="G30" s="8">
        <f t="shared" si="6"/>
        <v>5.0100000000000006E-2</v>
      </c>
      <c r="H30" s="9">
        <f t="shared" si="7"/>
        <v>5.2000000000000005E-2</v>
      </c>
      <c r="I30" s="4">
        <f t="shared" si="1"/>
        <v>5.2000000000000005E-2</v>
      </c>
      <c r="J30" s="15">
        <v>6561.0999999999995</v>
      </c>
      <c r="K30" s="16">
        <v>4580</v>
      </c>
      <c r="L30" s="12">
        <f t="shared" si="3"/>
        <v>5570.5499999999993</v>
      </c>
      <c r="M30" s="19">
        <v>3872.7</v>
      </c>
      <c r="N30" s="20">
        <f t="shared" si="9"/>
        <v>3820</v>
      </c>
      <c r="O30" s="12">
        <f t="shared" si="4"/>
        <v>5782.7</v>
      </c>
      <c r="P30" s="23">
        <v>2506.4</v>
      </c>
      <c r="Q30" s="24">
        <f t="shared" si="8"/>
        <v>3060</v>
      </c>
      <c r="R30" s="11">
        <f t="shared" si="5"/>
        <v>2783.2</v>
      </c>
    </row>
    <row r="31" spans="1:18" x14ac:dyDescent="0.25">
      <c r="A31" s="26" t="s">
        <v>41</v>
      </c>
      <c r="B31" s="1">
        <v>20</v>
      </c>
      <c r="C31" s="1">
        <v>20</v>
      </c>
      <c r="D31" s="3">
        <f t="shared" si="0"/>
        <v>4.0000000000000002E-4</v>
      </c>
      <c r="E31" s="3">
        <v>135</v>
      </c>
      <c r="F31" s="8">
        <f t="shared" si="2"/>
        <v>5.3999999999999999E-2</v>
      </c>
      <c r="G31" s="8">
        <f t="shared" si="6"/>
        <v>5.2100000000000007E-2</v>
      </c>
      <c r="H31" s="9">
        <f t="shared" si="7"/>
        <v>5.3999999999999999E-2</v>
      </c>
      <c r="I31" s="4">
        <f t="shared" si="1"/>
        <v>5.3999999999999999E-2</v>
      </c>
      <c r="J31" s="15">
        <v>0</v>
      </c>
      <c r="K31" s="16">
        <v>4660</v>
      </c>
      <c r="L31" s="12">
        <f t="shared" si="3"/>
        <v>2330</v>
      </c>
      <c r="M31" s="19">
        <v>0</v>
      </c>
      <c r="N31" s="20">
        <f t="shared" si="9"/>
        <v>3890</v>
      </c>
      <c r="O31" s="12">
        <f t="shared" si="4"/>
        <v>1945</v>
      </c>
      <c r="P31" s="23">
        <v>0</v>
      </c>
      <c r="Q31" s="24">
        <f t="shared" si="8"/>
        <v>3120</v>
      </c>
      <c r="R31" s="11">
        <f t="shared" si="5"/>
        <v>1560</v>
      </c>
    </row>
    <row r="32" spans="1:18" x14ac:dyDescent="0.25">
      <c r="A32" s="26" t="s">
        <v>42</v>
      </c>
      <c r="B32" s="1">
        <v>20</v>
      </c>
      <c r="C32" s="1">
        <v>20</v>
      </c>
      <c r="D32" s="3">
        <f t="shared" si="0"/>
        <v>4.0000000000000002E-4</v>
      </c>
      <c r="E32" s="3">
        <v>140</v>
      </c>
      <c r="F32" s="8">
        <f t="shared" si="2"/>
        <v>5.6000000000000001E-2</v>
      </c>
      <c r="G32" s="8">
        <f t="shared" si="6"/>
        <v>5.4100000000000002E-2</v>
      </c>
      <c r="H32" s="9">
        <f t="shared" si="7"/>
        <v>5.6000000000000001E-2</v>
      </c>
      <c r="I32" s="4">
        <f t="shared" si="1"/>
        <v>5.6000000000000001E-2</v>
      </c>
      <c r="J32" s="15">
        <v>6871.2</v>
      </c>
      <c r="K32" s="16">
        <v>4740</v>
      </c>
      <c r="L32" s="12">
        <f t="shared" si="3"/>
        <v>5805.6</v>
      </c>
      <c r="M32" s="19">
        <v>4057.2000000000003</v>
      </c>
      <c r="N32" s="20">
        <f t="shared" si="9"/>
        <v>3960</v>
      </c>
      <c r="O32" s="12">
        <f t="shared" si="4"/>
        <v>6037.2000000000007</v>
      </c>
      <c r="P32" s="23">
        <v>2625</v>
      </c>
      <c r="Q32" s="24">
        <f t="shared" si="8"/>
        <v>3180</v>
      </c>
      <c r="R32" s="11">
        <f t="shared" si="5"/>
        <v>2902.5</v>
      </c>
    </row>
    <row r="33" spans="1:18" x14ac:dyDescent="0.25">
      <c r="A33" s="26" t="s">
        <v>43</v>
      </c>
      <c r="B33" s="1">
        <v>20</v>
      </c>
      <c r="C33" s="1">
        <v>20</v>
      </c>
      <c r="D33" s="3">
        <f t="shared" si="0"/>
        <v>4.0000000000000002E-4</v>
      </c>
      <c r="E33" s="3">
        <v>145</v>
      </c>
      <c r="F33" s="8">
        <f t="shared" si="2"/>
        <v>5.8000000000000003E-2</v>
      </c>
      <c r="G33" s="8">
        <f t="shared" si="6"/>
        <v>5.6100000000000004E-2</v>
      </c>
      <c r="H33" s="9">
        <f t="shared" si="7"/>
        <v>5.8000000000000003E-2</v>
      </c>
      <c r="I33" s="4">
        <f t="shared" si="1"/>
        <v>5.8000000000000003E-2</v>
      </c>
      <c r="J33" s="15">
        <v>0</v>
      </c>
      <c r="K33" s="16">
        <v>4820</v>
      </c>
      <c r="L33" s="12">
        <f t="shared" si="3"/>
        <v>2410</v>
      </c>
      <c r="M33" s="19">
        <v>0</v>
      </c>
      <c r="N33" s="20">
        <f t="shared" si="9"/>
        <v>4030</v>
      </c>
      <c r="O33" s="12">
        <f t="shared" si="4"/>
        <v>2015</v>
      </c>
      <c r="P33" s="23">
        <v>0</v>
      </c>
      <c r="Q33" s="24">
        <f t="shared" si="8"/>
        <v>3240</v>
      </c>
      <c r="R33" s="11">
        <f t="shared" si="5"/>
        <v>1620</v>
      </c>
    </row>
    <row r="34" spans="1:18" x14ac:dyDescent="0.25">
      <c r="A34" s="26" t="s">
        <v>44</v>
      </c>
      <c r="B34" s="1">
        <v>20</v>
      </c>
      <c r="C34" s="1">
        <v>20</v>
      </c>
      <c r="D34" s="3">
        <f t="shared" si="0"/>
        <v>4.0000000000000002E-4</v>
      </c>
      <c r="E34" s="3">
        <v>150</v>
      </c>
      <c r="F34" s="8">
        <f t="shared" si="2"/>
        <v>6.0000000000000005E-2</v>
      </c>
      <c r="G34" s="8">
        <f t="shared" si="6"/>
        <v>5.8100000000000006E-2</v>
      </c>
      <c r="H34" s="9">
        <f t="shared" si="7"/>
        <v>6.0000000000000005E-2</v>
      </c>
      <c r="I34" s="4">
        <f t="shared" si="1"/>
        <v>6.0000000000000005E-2</v>
      </c>
      <c r="J34" s="15">
        <v>7155</v>
      </c>
      <c r="K34" s="16">
        <v>4900</v>
      </c>
      <c r="L34" s="12">
        <f t="shared" si="3"/>
        <v>6027.5</v>
      </c>
      <c r="M34" s="19">
        <v>4224</v>
      </c>
      <c r="N34" s="20">
        <f t="shared" si="9"/>
        <v>4100</v>
      </c>
      <c r="O34" s="12">
        <f t="shared" si="4"/>
        <v>6274</v>
      </c>
      <c r="P34" s="23">
        <v>2733</v>
      </c>
      <c r="Q34" s="24">
        <f t="shared" si="8"/>
        <v>3300</v>
      </c>
      <c r="R34" s="11">
        <f t="shared" si="5"/>
        <v>3016.5</v>
      </c>
    </row>
    <row r="35" spans="1:18" x14ac:dyDescent="0.25">
      <c r="A35" s="26" t="s">
        <v>45</v>
      </c>
      <c r="B35" s="1">
        <v>20</v>
      </c>
      <c r="C35" s="1">
        <v>20</v>
      </c>
      <c r="D35" s="3">
        <f t="shared" si="0"/>
        <v>4.0000000000000002E-4</v>
      </c>
      <c r="E35" s="3">
        <v>155</v>
      </c>
      <c r="F35" s="8">
        <f t="shared" si="2"/>
        <v>6.2E-2</v>
      </c>
      <c r="G35" s="8">
        <f t="shared" si="6"/>
        <v>6.0100000000000008E-2</v>
      </c>
      <c r="H35" s="9">
        <f t="shared" si="7"/>
        <v>6.2E-2</v>
      </c>
      <c r="I35" s="4">
        <f t="shared" si="1"/>
        <v>6.2E-2</v>
      </c>
      <c r="J35" s="15">
        <v>0</v>
      </c>
      <c r="K35" s="16">
        <v>4980</v>
      </c>
      <c r="L35" s="12">
        <f t="shared" si="3"/>
        <v>2490</v>
      </c>
      <c r="M35" s="19">
        <v>0</v>
      </c>
      <c r="N35" s="20">
        <f t="shared" si="9"/>
        <v>4170</v>
      </c>
      <c r="O35" s="12">
        <f t="shared" si="4"/>
        <v>2085</v>
      </c>
      <c r="P35" s="23">
        <v>0</v>
      </c>
      <c r="Q35" s="24">
        <f t="shared" si="8"/>
        <v>3360</v>
      </c>
      <c r="R35" s="11">
        <f t="shared" si="5"/>
        <v>1680</v>
      </c>
    </row>
    <row r="36" spans="1:18" x14ac:dyDescent="0.25">
      <c r="A36" s="26" t="s">
        <v>46</v>
      </c>
      <c r="B36" s="1">
        <v>20</v>
      </c>
      <c r="C36" s="1">
        <v>20</v>
      </c>
      <c r="D36" s="3">
        <f t="shared" si="0"/>
        <v>4.0000000000000002E-4</v>
      </c>
      <c r="E36" s="3">
        <v>160</v>
      </c>
      <c r="F36" s="8">
        <f t="shared" si="2"/>
        <v>6.4000000000000001E-2</v>
      </c>
      <c r="G36" s="8">
        <f t="shared" si="6"/>
        <v>6.2100000000000002E-2</v>
      </c>
      <c r="H36" s="9">
        <f t="shared" si="7"/>
        <v>6.4000000000000001E-2</v>
      </c>
      <c r="I36" s="4">
        <f t="shared" si="1"/>
        <v>6.4000000000000001E-2</v>
      </c>
      <c r="J36" s="15">
        <v>7411.2</v>
      </c>
      <c r="K36" s="16">
        <v>5060</v>
      </c>
      <c r="L36" s="12">
        <f t="shared" si="3"/>
        <v>6235.6</v>
      </c>
      <c r="M36" s="19">
        <v>4374.3999999999996</v>
      </c>
      <c r="N36" s="20">
        <f t="shared" si="9"/>
        <v>4240</v>
      </c>
      <c r="O36" s="12">
        <f t="shared" si="4"/>
        <v>6494.4</v>
      </c>
      <c r="P36" s="23">
        <v>2832</v>
      </c>
      <c r="Q36" s="24">
        <f t="shared" si="8"/>
        <v>3420</v>
      </c>
      <c r="R36" s="11">
        <f t="shared" si="5"/>
        <v>3126</v>
      </c>
    </row>
    <row r="37" spans="1:18" x14ac:dyDescent="0.25">
      <c r="A37" s="26" t="s">
        <v>47</v>
      </c>
      <c r="B37" s="1">
        <v>20</v>
      </c>
      <c r="C37" s="1">
        <v>20</v>
      </c>
      <c r="D37" s="3">
        <f t="shared" si="0"/>
        <v>4.0000000000000002E-4</v>
      </c>
      <c r="E37" s="3">
        <v>165</v>
      </c>
      <c r="F37" s="8">
        <f t="shared" si="2"/>
        <v>6.6000000000000003E-2</v>
      </c>
      <c r="G37" s="8">
        <f t="shared" si="6"/>
        <v>6.4100000000000004E-2</v>
      </c>
      <c r="H37" s="9">
        <f t="shared" si="7"/>
        <v>6.6000000000000003E-2</v>
      </c>
      <c r="I37" s="4">
        <f t="shared" si="1"/>
        <v>6.6000000000000003E-2</v>
      </c>
      <c r="J37" s="15">
        <v>0</v>
      </c>
      <c r="K37" s="16">
        <v>5140</v>
      </c>
      <c r="L37" s="12">
        <f t="shared" si="3"/>
        <v>2570</v>
      </c>
      <c r="M37" s="19">
        <v>0</v>
      </c>
      <c r="N37" s="20">
        <f t="shared" si="9"/>
        <v>4310</v>
      </c>
      <c r="O37" s="12">
        <f t="shared" si="4"/>
        <v>2155</v>
      </c>
      <c r="P37" s="23">
        <v>0</v>
      </c>
      <c r="Q37" s="24">
        <f t="shared" si="8"/>
        <v>3480</v>
      </c>
      <c r="R37" s="11">
        <f t="shared" si="5"/>
        <v>1740</v>
      </c>
    </row>
    <row r="38" spans="1:18" x14ac:dyDescent="0.25">
      <c r="A38" s="26" t="s">
        <v>48</v>
      </c>
      <c r="B38" s="1">
        <v>20</v>
      </c>
      <c r="C38" s="1">
        <v>20</v>
      </c>
      <c r="D38" s="3">
        <f t="shared" si="0"/>
        <v>4.0000000000000002E-4</v>
      </c>
      <c r="E38" s="3">
        <v>170</v>
      </c>
      <c r="F38" s="8">
        <f t="shared" si="2"/>
        <v>6.8000000000000005E-2</v>
      </c>
      <c r="G38" s="8">
        <f t="shared" si="6"/>
        <v>6.6100000000000006E-2</v>
      </c>
      <c r="H38" s="9">
        <f t="shared" si="7"/>
        <v>6.8000000000000005E-2</v>
      </c>
      <c r="I38" s="4">
        <f t="shared" si="1"/>
        <v>6.8000000000000005E-2</v>
      </c>
      <c r="J38" s="15">
        <v>7638.1</v>
      </c>
      <c r="K38" s="16">
        <v>5220</v>
      </c>
      <c r="L38" s="12">
        <f t="shared" si="3"/>
        <v>6429.05</v>
      </c>
      <c r="M38" s="19">
        <v>4510.1000000000004</v>
      </c>
      <c r="N38" s="20">
        <f t="shared" si="9"/>
        <v>4380</v>
      </c>
      <c r="O38" s="12">
        <f t="shared" si="4"/>
        <v>6700.1</v>
      </c>
      <c r="P38" s="23">
        <v>3009</v>
      </c>
      <c r="Q38" s="24">
        <f t="shared" si="8"/>
        <v>3540</v>
      </c>
      <c r="R38" s="11">
        <f t="shared" si="5"/>
        <v>3274.5</v>
      </c>
    </row>
    <row r="39" spans="1:18" x14ac:dyDescent="0.25">
      <c r="A39" s="26" t="s">
        <v>49</v>
      </c>
      <c r="B39" s="1">
        <v>20</v>
      </c>
      <c r="C39" s="1">
        <v>20</v>
      </c>
      <c r="D39" s="3">
        <f t="shared" si="0"/>
        <v>4.0000000000000002E-4</v>
      </c>
      <c r="E39" s="3">
        <v>175</v>
      </c>
      <c r="F39" s="8">
        <f t="shared" si="2"/>
        <v>7.0000000000000007E-2</v>
      </c>
      <c r="G39" s="8">
        <f t="shared" ref="G39:G70" si="10">H38+0.0001</f>
        <v>6.8100000000000008E-2</v>
      </c>
      <c r="H39" s="9">
        <f t="shared" ref="H39:H70" si="11">I39</f>
        <v>7.0000000000000007E-2</v>
      </c>
      <c r="I39" s="4">
        <f t="shared" si="1"/>
        <v>7.0000000000000007E-2</v>
      </c>
      <c r="J39" s="15">
        <v>0</v>
      </c>
      <c r="K39" s="16">
        <v>5300</v>
      </c>
      <c r="L39" s="12">
        <f t="shared" si="3"/>
        <v>2650</v>
      </c>
      <c r="M39" s="19">
        <v>0</v>
      </c>
      <c r="N39" s="20">
        <f t="shared" si="9"/>
        <v>4450</v>
      </c>
      <c r="O39" s="12">
        <f t="shared" si="4"/>
        <v>2225</v>
      </c>
      <c r="P39" s="23">
        <v>0</v>
      </c>
      <c r="Q39" s="24">
        <f t="shared" si="8"/>
        <v>3600</v>
      </c>
      <c r="R39" s="11">
        <f t="shared" si="5"/>
        <v>1800</v>
      </c>
    </row>
    <row r="40" spans="1:18" x14ac:dyDescent="0.25">
      <c r="A40" s="26" t="s">
        <v>50</v>
      </c>
      <c r="B40" s="1">
        <v>20</v>
      </c>
      <c r="C40" s="1">
        <v>20</v>
      </c>
      <c r="D40" s="3">
        <f t="shared" si="0"/>
        <v>4.0000000000000002E-4</v>
      </c>
      <c r="E40" s="3">
        <v>180</v>
      </c>
      <c r="F40" s="8">
        <f t="shared" si="2"/>
        <v>7.2000000000000008E-2</v>
      </c>
      <c r="G40" s="8">
        <f t="shared" si="10"/>
        <v>7.010000000000001E-2</v>
      </c>
      <c r="H40" s="9">
        <f t="shared" si="11"/>
        <v>7.2000000000000008E-2</v>
      </c>
      <c r="I40" s="4">
        <f t="shared" si="1"/>
        <v>7.2000000000000008E-2</v>
      </c>
      <c r="J40" s="15">
        <v>7838.9999999999991</v>
      </c>
      <c r="K40" s="16">
        <v>5380</v>
      </c>
      <c r="L40" s="12">
        <f t="shared" si="3"/>
        <v>6609.5</v>
      </c>
      <c r="M40" s="19">
        <v>4627.8</v>
      </c>
      <c r="N40" s="20">
        <f t="shared" si="9"/>
        <v>4520</v>
      </c>
      <c r="O40" s="12">
        <f t="shared" si="4"/>
        <v>6887.8</v>
      </c>
      <c r="P40" s="23">
        <v>2995.2000000000003</v>
      </c>
      <c r="Q40" s="24">
        <f t="shared" si="8"/>
        <v>3660</v>
      </c>
      <c r="R40" s="11">
        <f t="shared" si="5"/>
        <v>3327.6000000000004</v>
      </c>
    </row>
    <row r="41" spans="1:18" x14ac:dyDescent="0.25">
      <c r="A41" s="26" t="s">
        <v>51</v>
      </c>
      <c r="B41" s="1">
        <v>20</v>
      </c>
      <c r="C41" s="1">
        <v>20</v>
      </c>
      <c r="D41" s="3">
        <f t="shared" si="0"/>
        <v>4.0000000000000002E-4</v>
      </c>
      <c r="E41" s="3">
        <v>185</v>
      </c>
      <c r="F41" s="8">
        <f t="shared" si="2"/>
        <v>7.400000000000001E-2</v>
      </c>
      <c r="G41" s="8">
        <f t="shared" si="10"/>
        <v>7.2100000000000011E-2</v>
      </c>
      <c r="H41" s="9">
        <f t="shared" si="11"/>
        <v>7.400000000000001E-2</v>
      </c>
      <c r="I41" s="4">
        <f t="shared" si="1"/>
        <v>7.400000000000001E-2</v>
      </c>
      <c r="J41" s="15">
        <v>0</v>
      </c>
      <c r="K41" s="16">
        <v>5460</v>
      </c>
      <c r="L41" s="12">
        <f t="shared" si="3"/>
        <v>2730</v>
      </c>
      <c r="M41" s="19">
        <v>0</v>
      </c>
      <c r="N41" s="20">
        <f t="shared" si="9"/>
        <v>4590</v>
      </c>
      <c r="O41" s="12">
        <f t="shared" si="4"/>
        <v>2295</v>
      </c>
      <c r="P41" s="23">
        <v>0</v>
      </c>
      <c r="Q41" s="24">
        <f t="shared" si="8"/>
        <v>3720</v>
      </c>
      <c r="R41" s="11">
        <f t="shared" si="5"/>
        <v>1860</v>
      </c>
    </row>
    <row r="42" spans="1:18" x14ac:dyDescent="0.25">
      <c r="A42" s="26" t="s">
        <v>52</v>
      </c>
      <c r="B42" s="1">
        <v>20</v>
      </c>
      <c r="C42" s="1">
        <v>20</v>
      </c>
      <c r="D42" s="3">
        <f t="shared" si="0"/>
        <v>4.0000000000000002E-4</v>
      </c>
      <c r="E42" s="3">
        <v>190</v>
      </c>
      <c r="F42" s="8">
        <f t="shared" si="2"/>
        <v>7.5999999999999998E-2</v>
      </c>
      <c r="G42" s="8">
        <f t="shared" si="10"/>
        <v>7.4100000000000013E-2</v>
      </c>
      <c r="H42" s="9">
        <f t="shared" si="11"/>
        <v>7.5999999999999998E-2</v>
      </c>
      <c r="I42" s="4">
        <f t="shared" si="1"/>
        <v>7.5999999999999998E-2</v>
      </c>
      <c r="J42" s="15">
        <v>8012.3</v>
      </c>
      <c r="K42" s="16">
        <v>5540</v>
      </c>
      <c r="L42" s="12">
        <f t="shared" si="3"/>
        <v>6776.15</v>
      </c>
      <c r="M42" s="19">
        <v>4729.1000000000004</v>
      </c>
      <c r="N42" s="20">
        <f t="shared" si="9"/>
        <v>4660</v>
      </c>
      <c r="O42" s="12">
        <f t="shared" si="4"/>
        <v>7059.1</v>
      </c>
      <c r="P42" s="23">
        <v>3060.9</v>
      </c>
      <c r="Q42" s="24">
        <f t="shared" si="8"/>
        <v>3780</v>
      </c>
      <c r="R42" s="11">
        <f t="shared" si="5"/>
        <v>3420.45</v>
      </c>
    </row>
    <row r="43" spans="1:18" x14ac:dyDescent="0.25">
      <c r="A43" s="26" t="s">
        <v>53</v>
      </c>
      <c r="B43" s="1">
        <v>20</v>
      </c>
      <c r="C43" s="1">
        <v>20</v>
      </c>
      <c r="D43" s="3">
        <f t="shared" si="0"/>
        <v>4.0000000000000002E-4</v>
      </c>
      <c r="E43" s="3">
        <v>195</v>
      </c>
      <c r="F43" s="8">
        <f t="shared" si="2"/>
        <v>7.8E-2</v>
      </c>
      <c r="G43" s="8">
        <f t="shared" si="10"/>
        <v>7.6100000000000001E-2</v>
      </c>
      <c r="H43" s="9">
        <f t="shared" si="11"/>
        <v>7.8E-2</v>
      </c>
      <c r="I43" s="4">
        <f t="shared" si="1"/>
        <v>7.8E-2</v>
      </c>
      <c r="J43" s="15">
        <v>0</v>
      </c>
      <c r="K43" s="16">
        <v>5620</v>
      </c>
      <c r="L43" s="12">
        <f t="shared" si="3"/>
        <v>2810</v>
      </c>
      <c r="M43" s="19">
        <v>0</v>
      </c>
      <c r="N43" s="20">
        <f t="shared" si="9"/>
        <v>4730</v>
      </c>
      <c r="O43" s="12">
        <f t="shared" si="4"/>
        <v>2365</v>
      </c>
      <c r="P43" s="23">
        <v>0</v>
      </c>
      <c r="Q43" s="24">
        <f t="shared" si="8"/>
        <v>3840</v>
      </c>
      <c r="R43" s="11">
        <f t="shared" si="5"/>
        <v>1920</v>
      </c>
    </row>
    <row r="44" spans="1:18" x14ac:dyDescent="0.25">
      <c r="A44" s="26" t="s">
        <v>54</v>
      </c>
      <c r="B44" s="1">
        <v>20</v>
      </c>
      <c r="C44" s="1">
        <v>20</v>
      </c>
      <c r="D44" s="3">
        <f t="shared" si="0"/>
        <v>4.0000000000000002E-4</v>
      </c>
      <c r="E44" s="3">
        <v>200</v>
      </c>
      <c r="F44" s="8">
        <f t="shared" si="2"/>
        <v>0.08</v>
      </c>
      <c r="G44" s="8">
        <f t="shared" si="10"/>
        <v>7.8100000000000003E-2</v>
      </c>
      <c r="H44" s="9">
        <f t="shared" si="11"/>
        <v>0.08</v>
      </c>
      <c r="I44" s="4">
        <f t="shared" si="1"/>
        <v>0.08</v>
      </c>
      <c r="J44" s="15">
        <v>8158</v>
      </c>
      <c r="K44" s="16">
        <v>5700</v>
      </c>
      <c r="L44" s="12">
        <f t="shared" si="3"/>
        <v>6929</v>
      </c>
      <c r="M44" s="19">
        <v>4816</v>
      </c>
      <c r="N44" s="20">
        <f t="shared" si="9"/>
        <v>4800</v>
      </c>
      <c r="O44" s="12">
        <f t="shared" si="4"/>
        <v>7216</v>
      </c>
      <c r="P44" s="23">
        <v>3116</v>
      </c>
      <c r="Q44" s="24">
        <f t="shared" si="8"/>
        <v>3900</v>
      </c>
      <c r="R44" s="11">
        <f t="shared" si="5"/>
        <v>3508</v>
      </c>
    </row>
    <row r="45" spans="1:18" x14ac:dyDescent="0.25">
      <c r="A45" s="26" t="s">
        <v>55</v>
      </c>
      <c r="B45" s="1">
        <v>20</v>
      </c>
      <c r="C45" s="1">
        <v>20</v>
      </c>
      <c r="D45" s="3">
        <f t="shared" si="0"/>
        <v>4.0000000000000002E-4</v>
      </c>
      <c r="E45" s="3">
        <v>205</v>
      </c>
      <c r="F45" s="8">
        <f t="shared" si="2"/>
        <v>8.2000000000000003E-2</v>
      </c>
      <c r="G45" s="8">
        <f t="shared" si="10"/>
        <v>8.0100000000000005E-2</v>
      </c>
      <c r="H45" s="9">
        <f t="shared" si="11"/>
        <v>8.2000000000000003E-2</v>
      </c>
      <c r="I45" s="4">
        <f t="shared" si="1"/>
        <v>8.2000000000000003E-2</v>
      </c>
      <c r="J45" s="15">
        <v>0</v>
      </c>
      <c r="K45" s="16">
        <v>5780</v>
      </c>
      <c r="L45" s="12">
        <f t="shared" si="3"/>
        <v>2890</v>
      </c>
      <c r="M45" s="19">
        <v>0</v>
      </c>
      <c r="N45" s="20">
        <f t="shared" si="9"/>
        <v>4870</v>
      </c>
      <c r="O45" s="12">
        <f t="shared" si="4"/>
        <v>2435</v>
      </c>
      <c r="P45" s="23">
        <v>0</v>
      </c>
      <c r="Q45" s="24">
        <f t="shared" si="8"/>
        <v>3960</v>
      </c>
      <c r="R45" s="11">
        <f t="shared" si="5"/>
        <v>1980</v>
      </c>
    </row>
    <row r="46" spans="1:18" x14ac:dyDescent="0.25">
      <c r="A46" s="26" t="s">
        <v>56</v>
      </c>
      <c r="B46" s="1">
        <v>20</v>
      </c>
      <c r="C46" s="1">
        <v>20</v>
      </c>
      <c r="D46" s="3">
        <f t="shared" si="0"/>
        <v>4.0000000000000002E-4</v>
      </c>
      <c r="E46" s="3">
        <v>210</v>
      </c>
      <c r="F46" s="8">
        <f t="shared" si="2"/>
        <v>8.4000000000000005E-2</v>
      </c>
      <c r="G46" s="8">
        <f t="shared" si="10"/>
        <v>8.2100000000000006E-2</v>
      </c>
      <c r="H46" s="9">
        <f t="shared" si="11"/>
        <v>8.4000000000000005E-2</v>
      </c>
      <c r="I46" s="4">
        <f t="shared" si="1"/>
        <v>8.4000000000000005E-2</v>
      </c>
      <c r="J46" s="15">
        <v>8274</v>
      </c>
      <c r="K46" s="16">
        <v>5860</v>
      </c>
      <c r="L46" s="12">
        <f t="shared" si="3"/>
        <v>7067</v>
      </c>
      <c r="M46" s="19">
        <v>4884.6000000000004</v>
      </c>
      <c r="N46" s="20">
        <f t="shared" si="9"/>
        <v>4940</v>
      </c>
      <c r="O46" s="12">
        <f t="shared" si="4"/>
        <v>7354.6</v>
      </c>
      <c r="P46" s="23">
        <v>3162.6</v>
      </c>
      <c r="Q46" s="24">
        <f t="shared" si="8"/>
        <v>4020</v>
      </c>
      <c r="R46" s="11">
        <f t="shared" si="5"/>
        <v>3591.3</v>
      </c>
    </row>
    <row r="47" spans="1:18" x14ac:dyDescent="0.25">
      <c r="A47" s="26" t="s">
        <v>57</v>
      </c>
      <c r="B47" s="1">
        <v>20</v>
      </c>
      <c r="C47" s="1">
        <v>20</v>
      </c>
      <c r="D47" s="3">
        <f t="shared" si="0"/>
        <v>4.0000000000000002E-4</v>
      </c>
      <c r="E47" s="3">
        <v>215</v>
      </c>
      <c r="F47" s="8">
        <f t="shared" si="2"/>
        <v>8.6000000000000007E-2</v>
      </c>
      <c r="G47" s="8">
        <f t="shared" si="10"/>
        <v>8.4100000000000008E-2</v>
      </c>
      <c r="H47" s="9">
        <f t="shared" si="11"/>
        <v>8.6000000000000007E-2</v>
      </c>
      <c r="I47" s="4">
        <f t="shared" si="1"/>
        <v>8.6000000000000007E-2</v>
      </c>
      <c r="J47" s="15">
        <v>0</v>
      </c>
      <c r="K47" s="16">
        <v>5940</v>
      </c>
      <c r="L47" s="12">
        <f t="shared" si="3"/>
        <v>2970</v>
      </c>
      <c r="M47" s="19">
        <v>0</v>
      </c>
      <c r="N47" s="20">
        <f t="shared" si="9"/>
        <v>5010</v>
      </c>
      <c r="O47" s="12">
        <f t="shared" si="4"/>
        <v>2505</v>
      </c>
      <c r="P47" s="23">
        <v>0</v>
      </c>
      <c r="Q47" s="24">
        <f t="shared" si="8"/>
        <v>4080</v>
      </c>
      <c r="R47" s="11">
        <f t="shared" si="5"/>
        <v>2040</v>
      </c>
    </row>
    <row r="48" spans="1:18" x14ac:dyDescent="0.25">
      <c r="A48" s="26" t="s">
        <v>58</v>
      </c>
      <c r="B48" s="1">
        <v>20</v>
      </c>
      <c r="C48" s="1">
        <v>20</v>
      </c>
      <c r="D48" s="3">
        <f t="shared" si="0"/>
        <v>4.0000000000000002E-4</v>
      </c>
      <c r="E48" s="3">
        <v>220</v>
      </c>
      <c r="F48" s="8">
        <f t="shared" si="2"/>
        <v>8.8000000000000009E-2</v>
      </c>
      <c r="G48" s="8">
        <f t="shared" si="10"/>
        <v>8.610000000000001E-2</v>
      </c>
      <c r="H48" s="9">
        <f t="shared" si="11"/>
        <v>8.8000000000000009E-2</v>
      </c>
      <c r="I48" s="4">
        <f t="shared" si="1"/>
        <v>8.8000000000000009E-2</v>
      </c>
      <c r="J48" s="15">
        <v>8364.4000000000015</v>
      </c>
      <c r="K48" s="16">
        <v>6020</v>
      </c>
      <c r="L48" s="12">
        <f t="shared" si="3"/>
        <v>7192.2000000000007</v>
      </c>
      <c r="M48" s="19">
        <v>4939</v>
      </c>
      <c r="N48" s="20">
        <f t="shared" si="9"/>
        <v>5080</v>
      </c>
      <c r="O48" s="12">
        <f t="shared" si="4"/>
        <v>7479</v>
      </c>
      <c r="P48" s="23">
        <v>3196.6</v>
      </c>
      <c r="Q48" s="24">
        <f t="shared" si="8"/>
        <v>4140</v>
      </c>
      <c r="R48" s="11">
        <f t="shared" si="5"/>
        <v>3668.3</v>
      </c>
    </row>
    <row r="49" spans="1:18" x14ac:dyDescent="0.25">
      <c r="A49" s="26" t="s">
        <v>59</v>
      </c>
      <c r="B49" s="1">
        <v>20</v>
      </c>
      <c r="C49" s="1">
        <v>20</v>
      </c>
      <c r="D49" s="3"/>
      <c r="E49" s="3">
        <v>225</v>
      </c>
      <c r="F49" s="8">
        <f t="shared" si="2"/>
        <v>9.0000000000000011E-2</v>
      </c>
      <c r="G49" s="8">
        <f t="shared" si="10"/>
        <v>8.8100000000000012E-2</v>
      </c>
      <c r="H49" s="9">
        <f t="shared" si="11"/>
        <v>9.0000000000000011E-2</v>
      </c>
      <c r="I49" s="4">
        <f t="shared" si="1"/>
        <v>9.0000000000000011E-2</v>
      </c>
      <c r="J49" s="15">
        <v>0</v>
      </c>
      <c r="K49" s="16">
        <v>6100</v>
      </c>
      <c r="L49" s="12">
        <f t="shared" si="3"/>
        <v>3050</v>
      </c>
      <c r="M49" s="19">
        <v>0</v>
      </c>
      <c r="N49" s="20">
        <f t="shared" si="9"/>
        <v>5150</v>
      </c>
      <c r="O49" s="12">
        <f t="shared" si="4"/>
        <v>2575</v>
      </c>
      <c r="P49" s="23">
        <v>0</v>
      </c>
      <c r="Q49" s="24">
        <f t="shared" si="8"/>
        <v>4200</v>
      </c>
      <c r="R49" s="11">
        <f t="shared" si="5"/>
        <v>2100</v>
      </c>
    </row>
    <row r="50" spans="1:18" x14ac:dyDescent="0.25">
      <c r="A50" s="26" t="s">
        <v>60</v>
      </c>
      <c r="B50" s="1">
        <v>20</v>
      </c>
      <c r="C50" s="1">
        <v>20</v>
      </c>
      <c r="D50" s="3"/>
      <c r="E50" s="3">
        <v>230</v>
      </c>
      <c r="F50" s="8">
        <f t="shared" si="2"/>
        <v>9.1999999999999998E-2</v>
      </c>
      <c r="G50" s="8">
        <f t="shared" si="10"/>
        <v>9.0100000000000013E-2</v>
      </c>
      <c r="H50" s="9">
        <f t="shared" si="11"/>
        <v>9.1999999999999998E-2</v>
      </c>
      <c r="I50" s="4">
        <f t="shared" si="1"/>
        <v>9.1999999999999998E-2</v>
      </c>
      <c r="J50" s="15">
        <v>8427.2000000000007</v>
      </c>
      <c r="K50" s="16">
        <v>6180</v>
      </c>
      <c r="L50" s="12">
        <f t="shared" si="3"/>
        <v>7303.6</v>
      </c>
      <c r="M50" s="19">
        <v>4974.8999999999996</v>
      </c>
      <c r="N50" s="20">
        <f t="shared" si="9"/>
        <v>5220</v>
      </c>
      <c r="O50" s="12">
        <f t="shared" si="4"/>
        <v>7584.9</v>
      </c>
      <c r="P50" s="23">
        <v>3220</v>
      </c>
      <c r="Q50" s="24">
        <f t="shared" si="8"/>
        <v>4260</v>
      </c>
      <c r="R50" s="11">
        <f t="shared" si="5"/>
        <v>3740</v>
      </c>
    </row>
    <row r="51" spans="1:18" x14ac:dyDescent="0.25">
      <c r="A51" s="26" t="s">
        <v>61</v>
      </c>
      <c r="B51" s="1">
        <v>20</v>
      </c>
      <c r="C51" s="1">
        <v>20</v>
      </c>
      <c r="D51" s="3"/>
      <c r="E51" s="3">
        <v>235</v>
      </c>
      <c r="F51" s="8">
        <f t="shared" si="2"/>
        <v>9.4E-2</v>
      </c>
      <c r="G51" s="8">
        <f t="shared" si="10"/>
        <v>9.2100000000000001E-2</v>
      </c>
      <c r="H51" s="9">
        <f t="shared" si="11"/>
        <v>9.4E-2</v>
      </c>
      <c r="I51" s="4">
        <f t="shared" si="1"/>
        <v>9.4E-2</v>
      </c>
      <c r="J51" s="15">
        <v>0</v>
      </c>
      <c r="K51" s="16">
        <v>6260</v>
      </c>
      <c r="L51" s="12">
        <f t="shared" si="3"/>
        <v>3130</v>
      </c>
      <c r="M51" s="19">
        <v>0</v>
      </c>
      <c r="N51" s="20">
        <f t="shared" si="9"/>
        <v>5290</v>
      </c>
      <c r="O51" s="12">
        <f t="shared" si="4"/>
        <v>2645</v>
      </c>
      <c r="P51" s="23">
        <v>0</v>
      </c>
      <c r="Q51" s="24">
        <f t="shared" si="8"/>
        <v>4320</v>
      </c>
      <c r="R51" s="11">
        <f t="shared" si="5"/>
        <v>2160</v>
      </c>
    </row>
    <row r="52" spans="1:18" x14ac:dyDescent="0.25">
      <c r="A52" s="26" t="s">
        <v>62</v>
      </c>
      <c r="B52" s="1">
        <v>20</v>
      </c>
      <c r="C52" s="1">
        <v>20</v>
      </c>
      <c r="D52" s="3"/>
      <c r="E52" s="3">
        <v>240</v>
      </c>
      <c r="F52" s="8">
        <f t="shared" si="2"/>
        <v>9.6000000000000002E-2</v>
      </c>
      <c r="G52" s="8">
        <f t="shared" si="10"/>
        <v>9.4100000000000003E-2</v>
      </c>
      <c r="H52" s="9">
        <f t="shared" si="11"/>
        <v>9.6000000000000002E-2</v>
      </c>
      <c r="I52" s="4">
        <f t="shared" si="1"/>
        <v>9.6000000000000002E-2</v>
      </c>
      <c r="J52" s="15">
        <v>8462.4</v>
      </c>
      <c r="K52" s="16">
        <v>6340</v>
      </c>
      <c r="L52" s="12">
        <f t="shared" si="3"/>
        <v>7401.2</v>
      </c>
      <c r="M52" s="19">
        <v>4994.3999999999996</v>
      </c>
      <c r="N52" s="20">
        <f t="shared" si="9"/>
        <v>5360</v>
      </c>
      <c r="O52" s="12">
        <f t="shared" si="4"/>
        <v>7674.4</v>
      </c>
      <c r="P52" s="23">
        <v>3232.8</v>
      </c>
      <c r="Q52" s="24">
        <f t="shared" si="8"/>
        <v>4380</v>
      </c>
      <c r="R52" s="11">
        <f t="shared" si="5"/>
        <v>3806.4</v>
      </c>
    </row>
    <row r="53" spans="1:18" x14ac:dyDescent="0.25">
      <c r="A53" s="26" t="s">
        <v>63</v>
      </c>
      <c r="B53" s="1">
        <v>20</v>
      </c>
      <c r="C53" s="1">
        <v>20</v>
      </c>
      <c r="D53" s="3"/>
      <c r="E53" s="3">
        <v>245</v>
      </c>
      <c r="F53" s="8">
        <f t="shared" si="2"/>
        <v>9.8000000000000004E-2</v>
      </c>
      <c r="G53" s="8">
        <f t="shared" si="10"/>
        <v>9.6100000000000005E-2</v>
      </c>
      <c r="H53" s="9">
        <f t="shared" si="11"/>
        <v>9.8000000000000004E-2</v>
      </c>
      <c r="I53" s="4">
        <f t="shared" si="1"/>
        <v>9.8000000000000004E-2</v>
      </c>
      <c r="J53" s="15">
        <v>0</v>
      </c>
      <c r="K53" s="16">
        <v>6420</v>
      </c>
      <c r="L53" s="12">
        <f t="shared" si="3"/>
        <v>3210</v>
      </c>
      <c r="M53" s="19">
        <v>0</v>
      </c>
      <c r="N53" s="20">
        <f t="shared" si="9"/>
        <v>5430</v>
      </c>
      <c r="O53" s="12">
        <f t="shared" si="4"/>
        <v>2715</v>
      </c>
      <c r="P53" s="23">
        <v>0</v>
      </c>
      <c r="Q53" s="24">
        <f t="shared" si="8"/>
        <v>4440</v>
      </c>
      <c r="R53" s="11">
        <f t="shared" si="5"/>
        <v>2220</v>
      </c>
    </row>
    <row r="54" spans="1:18" x14ac:dyDescent="0.25">
      <c r="A54" s="26" t="s">
        <v>64</v>
      </c>
      <c r="B54" s="1">
        <v>20</v>
      </c>
      <c r="C54" s="1">
        <v>20</v>
      </c>
      <c r="D54" s="3"/>
      <c r="E54" s="3">
        <v>250</v>
      </c>
      <c r="F54" s="8">
        <f t="shared" si="2"/>
        <v>0.1</v>
      </c>
      <c r="G54" s="8">
        <f t="shared" si="10"/>
        <v>9.8100000000000007E-2</v>
      </c>
      <c r="H54" s="9">
        <f t="shared" si="11"/>
        <v>0.1</v>
      </c>
      <c r="I54" s="4">
        <f t="shared" si="1"/>
        <v>0.1</v>
      </c>
      <c r="J54" s="15">
        <v>8470</v>
      </c>
      <c r="K54" s="16">
        <v>6500</v>
      </c>
      <c r="L54" s="12">
        <f t="shared" si="3"/>
        <v>7485</v>
      </c>
      <c r="M54" s="19">
        <v>5000</v>
      </c>
      <c r="N54" s="20">
        <f t="shared" si="9"/>
        <v>5500</v>
      </c>
      <c r="O54" s="12">
        <f t="shared" si="4"/>
        <v>7750</v>
      </c>
      <c r="P54" s="23">
        <v>3235</v>
      </c>
      <c r="Q54" s="24">
        <f t="shared" si="8"/>
        <v>4500</v>
      </c>
      <c r="R54" s="11">
        <f t="shared" si="5"/>
        <v>3867.5</v>
      </c>
    </row>
    <row r="55" spans="1:18" x14ac:dyDescent="0.25">
      <c r="A55" s="26" t="s">
        <v>65</v>
      </c>
      <c r="B55" s="1">
        <v>20</v>
      </c>
      <c r="C55" s="1">
        <v>20</v>
      </c>
      <c r="D55" s="3"/>
      <c r="E55" s="3">
        <v>255</v>
      </c>
      <c r="F55" s="8">
        <f t="shared" si="2"/>
        <v>0.10200000000000001</v>
      </c>
      <c r="G55" s="8">
        <f t="shared" si="10"/>
        <v>0.10010000000000001</v>
      </c>
      <c r="H55" s="9">
        <f t="shared" si="11"/>
        <v>0.10200000000000001</v>
      </c>
      <c r="I55" s="4">
        <f t="shared" si="1"/>
        <v>0.10200000000000001</v>
      </c>
      <c r="J55" s="15">
        <v>0</v>
      </c>
      <c r="K55" s="16">
        <v>6580</v>
      </c>
      <c r="L55" s="12">
        <f t="shared" si="3"/>
        <v>3290</v>
      </c>
      <c r="M55" s="19">
        <v>0</v>
      </c>
      <c r="N55" s="20">
        <f t="shared" si="9"/>
        <v>5570</v>
      </c>
      <c r="O55" s="12">
        <f t="shared" si="4"/>
        <v>2785</v>
      </c>
      <c r="P55" s="23">
        <v>0</v>
      </c>
      <c r="Q55" s="24">
        <f t="shared" si="8"/>
        <v>4560</v>
      </c>
      <c r="R55" s="11">
        <f t="shared" si="5"/>
        <v>2280</v>
      </c>
    </row>
    <row r="56" spans="1:18" x14ac:dyDescent="0.25">
      <c r="A56" s="26" t="s">
        <v>66</v>
      </c>
      <c r="B56" s="1">
        <v>20</v>
      </c>
      <c r="C56" s="1">
        <v>20</v>
      </c>
      <c r="D56" s="3"/>
      <c r="E56" s="3">
        <v>260</v>
      </c>
      <c r="F56" s="8">
        <f t="shared" si="2"/>
        <v>0.10400000000000001</v>
      </c>
      <c r="G56" s="8">
        <f t="shared" si="10"/>
        <v>0.10210000000000001</v>
      </c>
      <c r="H56" s="9">
        <f t="shared" si="11"/>
        <v>0.10400000000000001</v>
      </c>
      <c r="I56" s="4">
        <f t="shared" si="1"/>
        <v>0.10400000000000001</v>
      </c>
      <c r="J56" s="15">
        <v>0</v>
      </c>
      <c r="K56" s="16">
        <v>6660</v>
      </c>
      <c r="L56" s="12">
        <f t="shared" si="3"/>
        <v>3330</v>
      </c>
      <c r="M56" s="19">
        <v>0</v>
      </c>
      <c r="N56" s="20">
        <f t="shared" si="9"/>
        <v>5640</v>
      </c>
      <c r="O56" s="12">
        <f t="shared" si="4"/>
        <v>2820</v>
      </c>
      <c r="P56" s="23">
        <v>0</v>
      </c>
      <c r="Q56" s="24">
        <f t="shared" si="8"/>
        <v>4620</v>
      </c>
      <c r="R56" s="11">
        <f t="shared" si="5"/>
        <v>2310</v>
      </c>
    </row>
    <row r="57" spans="1:18" x14ac:dyDescent="0.25">
      <c r="A57" s="26" t="s">
        <v>67</v>
      </c>
      <c r="B57" s="1">
        <v>20</v>
      </c>
      <c r="C57" s="1">
        <v>20</v>
      </c>
      <c r="D57" s="3"/>
      <c r="E57" s="3">
        <v>265</v>
      </c>
      <c r="F57" s="8">
        <f t="shared" si="2"/>
        <v>0.10600000000000001</v>
      </c>
      <c r="G57" s="8">
        <f t="shared" si="10"/>
        <v>0.10410000000000001</v>
      </c>
      <c r="H57" s="9">
        <f t="shared" si="11"/>
        <v>0.10600000000000001</v>
      </c>
      <c r="I57" s="4">
        <f t="shared" si="1"/>
        <v>0.10600000000000001</v>
      </c>
      <c r="J57" s="15">
        <v>0</v>
      </c>
      <c r="K57" s="16">
        <v>6740</v>
      </c>
      <c r="L57" s="12">
        <f t="shared" si="3"/>
        <v>3370</v>
      </c>
      <c r="M57" s="19">
        <v>0</v>
      </c>
      <c r="N57" s="20">
        <f t="shared" si="9"/>
        <v>5710</v>
      </c>
      <c r="O57" s="12">
        <f t="shared" si="4"/>
        <v>2855</v>
      </c>
      <c r="P57" s="23">
        <v>0</v>
      </c>
      <c r="Q57" s="24">
        <f t="shared" si="8"/>
        <v>4680</v>
      </c>
      <c r="R57" s="11">
        <f t="shared" si="5"/>
        <v>2340</v>
      </c>
    </row>
    <row r="58" spans="1:18" x14ac:dyDescent="0.25">
      <c r="A58" s="26" t="s">
        <v>68</v>
      </c>
      <c r="B58" s="1">
        <v>20</v>
      </c>
      <c r="C58" s="1">
        <v>20</v>
      </c>
      <c r="D58" s="3"/>
      <c r="E58" s="3">
        <v>270</v>
      </c>
      <c r="F58" s="8">
        <f t="shared" si="2"/>
        <v>0.108</v>
      </c>
      <c r="G58" s="8">
        <f t="shared" si="10"/>
        <v>0.10610000000000001</v>
      </c>
      <c r="H58" s="9">
        <f t="shared" si="11"/>
        <v>0.108</v>
      </c>
      <c r="I58" s="4">
        <f t="shared" si="1"/>
        <v>0.108</v>
      </c>
      <c r="J58" s="15">
        <v>0</v>
      </c>
      <c r="K58" s="16">
        <v>6820</v>
      </c>
      <c r="L58" s="12">
        <f t="shared" si="3"/>
        <v>3410</v>
      </c>
      <c r="M58" s="19">
        <v>0</v>
      </c>
      <c r="N58" s="20">
        <f t="shared" si="9"/>
        <v>5780</v>
      </c>
      <c r="O58" s="12">
        <f t="shared" si="4"/>
        <v>2890</v>
      </c>
      <c r="P58" s="23">
        <v>0</v>
      </c>
      <c r="Q58" s="24">
        <f t="shared" si="8"/>
        <v>4740</v>
      </c>
      <c r="R58" s="11">
        <f t="shared" si="5"/>
        <v>2370</v>
      </c>
    </row>
    <row r="59" spans="1:18" x14ac:dyDescent="0.25">
      <c r="A59" s="26" t="s">
        <v>69</v>
      </c>
      <c r="B59" s="1">
        <v>20</v>
      </c>
      <c r="C59" s="1">
        <v>20</v>
      </c>
      <c r="D59" s="3"/>
      <c r="E59" s="3">
        <v>275</v>
      </c>
      <c r="F59" s="8">
        <f t="shared" si="2"/>
        <v>0.11</v>
      </c>
      <c r="G59" s="8">
        <f t="shared" si="10"/>
        <v>0.1081</v>
      </c>
      <c r="H59" s="9">
        <f t="shared" si="11"/>
        <v>0.11</v>
      </c>
      <c r="I59" s="4">
        <f t="shared" si="1"/>
        <v>0.11</v>
      </c>
      <c r="J59" s="15">
        <v>8841.25</v>
      </c>
      <c r="K59" s="16">
        <v>6900</v>
      </c>
      <c r="L59" s="12">
        <f t="shared" si="3"/>
        <v>7870.625</v>
      </c>
      <c r="M59" s="19">
        <v>5219.5</v>
      </c>
      <c r="N59" s="20">
        <f t="shared" si="9"/>
        <v>5850</v>
      </c>
      <c r="O59" s="12">
        <f t="shared" si="4"/>
        <v>8144.5</v>
      </c>
      <c r="P59" s="23">
        <v>3685</v>
      </c>
      <c r="Q59" s="24">
        <v>4525</v>
      </c>
      <c r="R59" s="11">
        <f t="shared" si="5"/>
        <v>4105</v>
      </c>
    </row>
    <row r="60" spans="1:18" x14ac:dyDescent="0.25">
      <c r="A60" s="26" t="s">
        <v>70</v>
      </c>
      <c r="B60" s="1">
        <v>20</v>
      </c>
      <c r="C60" s="1">
        <v>20</v>
      </c>
      <c r="D60" s="3"/>
      <c r="E60" s="3">
        <v>280</v>
      </c>
      <c r="F60" s="8">
        <f t="shared" si="2"/>
        <v>0.112</v>
      </c>
      <c r="G60" s="8">
        <f t="shared" si="10"/>
        <v>0.1101</v>
      </c>
      <c r="H60" s="9">
        <f t="shared" si="11"/>
        <v>0.112</v>
      </c>
      <c r="I60" s="4">
        <f t="shared" si="1"/>
        <v>0.112</v>
      </c>
      <c r="J60" s="15">
        <v>0</v>
      </c>
      <c r="K60" s="16">
        <v>6980</v>
      </c>
      <c r="L60" s="12">
        <f t="shared" si="3"/>
        <v>3490</v>
      </c>
      <c r="M60" s="19">
        <v>0</v>
      </c>
      <c r="N60" s="20">
        <f t="shared" si="9"/>
        <v>5920</v>
      </c>
      <c r="O60" s="12">
        <f t="shared" si="4"/>
        <v>2960</v>
      </c>
      <c r="P60" s="23">
        <v>0</v>
      </c>
      <c r="Q60" s="24">
        <v>4602</v>
      </c>
      <c r="R60" s="11">
        <f t="shared" si="5"/>
        <v>2301</v>
      </c>
    </row>
    <row r="61" spans="1:18" x14ac:dyDescent="0.25">
      <c r="A61" s="26" t="s">
        <v>71</v>
      </c>
      <c r="B61" s="1">
        <v>20</v>
      </c>
      <c r="C61" s="1">
        <v>20</v>
      </c>
      <c r="D61" s="3"/>
      <c r="E61" s="3">
        <v>285</v>
      </c>
      <c r="F61" s="8">
        <f t="shared" si="2"/>
        <v>0.114</v>
      </c>
      <c r="G61" s="8">
        <f t="shared" si="10"/>
        <v>0.11210000000000001</v>
      </c>
      <c r="H61" s="9">
        <f t="shared" si="11"/>
        <v>0.114</v>
      </c>
      <c r="I61" s="4">
        <f t="shared" si="1"/>
        <v>0.114</v>
      </c>
      <c r="J61" s="15">
        <v>0</v>
      </c>
      <c r="K61" s="16">
        <v>7060</v>
      </c>
      <c r="L61" s="12">
        <f t="shared" si="3"/>
        <v>3530</v>
      </c>
      <c r="M61" s="19">
        <v>0</v>
      </c>
      <c r="N61" s="20">
        <f t="shared" si="9"/>
        <v>5990</v>
      </c>
      <c r="O61" s="12">
        <f t="shared" si="4"/>
        <v>2995</v>
      </c>
      <c r="P61" s="23">
        <v>0</v>
      </c>
      <c r="Q61" s="24">
        <v>4635</v>
      </c>
      <c r="R61" s="11">
        <f t="shared" si="5"/>
        <v>2317.5</v>
      </c>
    </row>
    <row r="62" spans="1:18" x14ac:dyDescent="0.25">
      <c r="A62" s="26" t="s">
        <v>72</v>
      </c>
      <c r="B62" s="1">
        <v>20</v>
      </c>
      <c r="C62" s="1">
        <v>20</v>
      </c>
      <c r="D62" s="3"/>
      <c r="E62" s="3">
        <v>290</v>
      </c>
      <c r="F62" s="8">
        <f t="shared" si="2"/>
        <v>0.11600000000000001</v>
      </c>
      <c r="G62" s="8">
        <f t="shared" si="10"/>
        <v>0.11410000000000001</v>
      </c>
      <c r="H62" s="9">
        <f t="shared" si="11"/>
        <v>0.11600000000000001</v>
      </c>
      <c r="I62" s="4">
        <f t="shared" si="1"/>
        <v>0.11600000000000001</v>
      </c>
      <c r="J62" s="15">
        <v>0</v>
      </c>
      <c r="K62" s="16">
        <v>7140</v>
      </c>
      <c r="L62" s="12">
        <f t="shared" si="3"/>
        <v>3570</v>
      </c>
      <c r="M62" s="19">
        <v>0</v>
      </c>
      <c r="N62" s="20">
        <f t="shared" si="9"/>
        <v>6060</v>
      </c>
      <c r="O62" s="12">
        <f t="shared" si="4"/>
        <v>3030</v>
      </c>
      <c r="P62" s="23">
        <v>0</v>
      </c>
      <c r="Q62" s="24">
        <v>4690</v>
      </c>
      <c r="R62" s="11">
        <f t="shared" si="5"/>
        <v>2345</v>
      </c>
    </row>
    <row r="63" spans="1:18" x14ac:dyDescent="0.25">
      <c r="A63" s="26" t="s">
        <v>73</v>
      </c>
      <c r="B63" s="1">
        <v>20</v>
      </c>
      <c r="C63" s="1">
        <v>20</v>
      </c>
      <c r="D63" s="3"/>
      <c r="E63" s="3">
        <v>295</v>
      </c>
      <c r="F63" s="8">
        <f t="shared" si="2"/>
        <v>0.11800000000000001</v>
      </c>
      <c r="G63" s="8">
        <f t="shared" si="10"/>
        <v>0.11610000000000001</v>
      </c>
      <c r="H63" s="9">
        <f t="shared" si="11"/>
        <v>0.11800000000000001</v>
      </c>
      <c r="I63" s="4">
        <f t="shared" si="1"/>
        <v>0.11800000000000001</v>
      </c>
      <c r="J63" s="15">
        <v>0</v>
      </c>
      <c r="K63" s="16">
        <v>7220</v>
      </c>
      <c r="L63" s="12">
        <f t="shared" si="3"/>
        <v>3610</v>
      </c>
      <c r="M63" s="19">
        <v>0</v>
      </c>
      <c r="N63" s="20">
        <f t="shared" si="9"/>
        <v>6130</v>
      </c>
      <c r="O63" s="12">
        <f t="shared" si="4"/>
        <v>3065</v>
      </c>
      <c r="P63" s="23">
        <v>0</v>
      </c>
      <c r="Q63" s="24">
        <v>4745</v>
      </c>
      <c r="R63" s="11">
        <f t="shared" si="5"/>
        <v>2372.5</v>
      </c>
    </row>
    <row r="64" spans="1:18" x14ac:dyDescent="0.25">
      <c r="A64" s="26" t="s">
        <v>74</v>
      </c>
      <c r="B64" s="1">
        <v>20</v>
      </c>
      <c r="C64" s="1">
        <v>20</v>
      </c>
      <c r="D64" s="3"/>
      <c r="E64" s="5">
        <v>300</v>
      </c>
      <c r="F64" s="8">
        <f t="shared" si="2"/>
        <v>0.12000000000000001</v>
      </c>
      <c r="G64" s="8">
        <f t="shared" si="10"/>
        <v>0.11810000000000001</v>
      </c>
      <c r="H64" s="9">
        <f t="shared" si="11"/>
        <v>0.12000000000000001</v>
      </c>
      <c r="I64" s="4">
        <f t="shared" si="1"/>
        <v>0.12000000000000001</v>
      </c>
      <c r="J64" s="15">
        <v>9126</v>
      </c>
      <c r="K64" s="16">
        <v>7300</v>
      </c>
      <c r="L64" s="12">
        <f t="shared" si="3"/>
        <v>8213</v>
      </c>
      <c r="M64" s="19">
        <v>5388</v>
      </c>
      <c r="N64" s="20">
        <f t="shared" si="9"/>
        <v>6200</v>
      </c>
      <c r="O64" s="12">
        <f t="shared" si="4"/>
        <v>8488</v>
      </c>
      <c r="P64" s="23">
        <v>3804</v>
      </c>
      <c r="Q64" s="24">
        <v>4800</v>
      </c>
      <c r="R64" s="11">
        <f t="shared" si="5"/>
        <v>4302</v>
      </c>
    </row>
    <row r="65" spans="1:22" x14ac:dyDescent="0.25">
      <c r="A65" s="26" t="s">
        <v>75</v>
      </c>
      <c r="B65" s="1">
        <v>20</v>
      </c>
      <c r="C65" s="1">
        <v>20</v>
      </c>
      <c r="D65" s="3"/>
      <c r="E65" s="5">
        <v>325</v>
      </c>
      <c r="F65" s="8">
        <f t="shared" si="2"/>
        <v>0.13</v>
      </c>
      <c r="G65" s="8">
        <f t="shared" si="10"/>
        <v>0.12010000000000001</v>
      </c>
      <c r="H65" s="9">
        <f t="shared" si="11"/>
        <v>0.13</v>
      </c>
      <c r="I65" s="4">
        <f t="shared" si="1"/>
        <v>0.13</v>
      </c>
      <c r="J65" s="15">
        <v>9324.25</v>
      </c>
      <c r="K65" s="16">
        <v>7700</v>
      </c>
      <c r="L65" s="12">
        <f t="shared" si="3"/>
        <v>8512.125</v>
      </c>
      <c r="M65" s="19">
        <v>5505.5</v>
      </c>
      <c r="N65" s="20">
        <v>6550</v>
      </c>
      <c r="O65" s="12">
        <f t="shared" si="4"/>
        <v>8780.5</v>
      </c>
      <c r="P65" s="23">
        <v>3887.0000000000005</v>
      </c>
      <c r="Q65" s="24">
        <v>5075</v>
      </c>
      <c r="R65" s="11">
        <f t="shared" si="5"/>
        <v>4481</v>
      </c>
    </row>
    <row r="66" spans="1:22" x14ac:dyDescent="0.25">
      <c r="A66" s="26" t="s">
        <v>76</v>
      </c>
      <c r="B66" s="1">
        <v>20</v>
      </c>
      <c r="C66" s="1">
        <v>20</v>
      </c>
      <c r="D66" s="3"/>
      <c r="E66" s="5">
        <v>350</v>
      </c>
      <c r="F66" s="8">
        <f t="shared" si="2"/>
        <v>0.14000000000000001</v>
      </c>
      <c r="G66" s="8">
        <f t="shared" si="10"/>
        <v>0.13009999999999999</v>
      </c>
      <c r="H66" s="9">
        <f t="shared" si="11"/>
        <v>0.14000000000000001</v>
      </c>
      <c r="I66" s="4">
        <f t="shared" si="1"/>
        <v>0.14000000000000001</v>
      </c>
      <c r="J66" s="15">
        <v>9436</v>
      </c>
      <c r="K66" s="16">
        <v>8100</v>
      </c>
      <c r="L66" s="12">
        <f t="shared" si="3"/>
        <v>8768</v>
      </c>
      <c r="M66" s="19">
        <v>5572</v>
      </c>
      <c r="N66" s="20">
        <v>6900</v>
      </c>
      <c r="O66" s="12">
        <f t="shared" si="4"/>
        <v>9022</v>
      </c>
      <c r="P66" s="23">
        <v>3934</v>
      </c>
      <c r="Q66" s="24">
        <v>5350</v>
      </c>
      <c r="R66" s="11">
        <f t="shared" si="5"/>
        <v>4642</v>
      </c>
    </row>
    <row r="67" spans="1:22" x14ac:dyDescent="0.25">
      <c r="A67" s="26" t="s">
        <v>77</v>
      </c>
      <c r="B67" s="1">
        <v>20</v>
      </c>
      <c r="C67" s="1">
        <v>20</v>
      </c>
      <c r="D67" s="3"/>
      <c r="E67" s="5">
        <v>375</v>
      </c>
      <c r="F67" s="8">
        <f t="shared" si="2"/>
        <v>0.15</v>
      </c>
      <c r="G67" s="8">
        <f t="shared" si="10"/>
        <v>0.1401</v>
      </c>
      <c r="H67" s="9">
        <f t="shared" si="11"/>
        <v>0.15</v>
      </c>
      <c r="I67" s="4">
        <f t="shared" si="1"/>
        <v>0.15</v>
      </c>
      <c r="J67" s="15">
        <v>9461.25</v>
      </c>
      <c r="K67" s="16">
        <v>8500</v>
      </c>
      <c r="L67" s="12">
        <f t="shared" si="3"/>
        <v>8980.625</v>
      </c>
      <c r="M67" s="19">
        <v>5587.5</v>
      </c>
      <c r="N67" s="20">
        <v>7250</v>
      </c>
      <c r="O67" s="12">
        <f t="shared" si="4"/>
        <v>9212.5</v>
      </c>
      <c r="P67" s="23">
        <v>3945</v>
      </c>
      <c r="Q67" s="24">
        <v>5625</v>
      </c>
      <c r="R67" s="11">
        <f t="shared" si="5"/>
        <v>4785</v>
      </c>
    </row>
    <row r="68" spans="1:22" x14ac:dyDescent="0.25">
      <c r="A68" s="26" t="s">
        <v>78</v>
      </c>
      <c r="B68" s="1">
        <v>20</v>
      </c>
      <c r="C68" s="1">
        <v>20</v>
      </c>
      <c r="D68" s="3"/>
      <c r="E68" s="5">
        <v>400</v>
      </c>
      <c r="F68" s="8">
        <f t="shared" si="2"/>
        <v>0.16</v>
      </c>
      <c r="G68" s="8">
        <f t="shared" si="10"/>
        <v>0.15009999999999998</v>
      </c>
      <c r="H68" s="9">
        <f t="shared" si="11"/>
        <v>0.16</v>
      </c>
      <c r="I68" s="4">
        <f t="shared" ref="I68:I83" si="12">B68*C68/1000000*E68</f>
        <v>0.16</v>
      </c>
      <c r="J68" s="15">
        <v>9816</v>
      </c>
      <c r="K68" s="16">
        <v>8900</v>
      </c>
      <c r="L68" s="12">
        <f t="shared" si="3"/>
        <v>9358</v>
      </c>
      <c r="M68" s="19">
        <v>5796</v>
      </c>
      <c r="N68" s="20">
        <v>7600</v>
      </c>
      <c r="O68" s="12">
        <f t="shared" si="4"/>
        <v>9596</v>
      </c>
      <c r="P68" s="23">
        <v>4160</v>
      </c>
      <c r="Q68" s="24">
        <v>5900</v>
      </c>
      <c r="R68" s="11">
        <f t="shared" si="5"/>
        <v>5030</v>
      </c>
    </row>
    <row r="69" spans="1:22" x14ac:dyDescent="0.25">
      <c r="A69" s="26" t="s">
        <v>79</v>
      </c>
      <c r="B69" s="1">
        <v>20</v>
      </c>
      <c r="C69" s="1">
        <v>20</v>
      </c>
      <c r="D69" s="3"/>
      <c r="E69" s="5">
        <v>425</v>
      </c>
      <c r="F69" s="8">
        <f t="shared" ref="F69:F83" si="13">B69*C69/1000000*E69</f>
        <v>0.17</v>
      </c>
      <c r="G69" s="8">
        <f t="shared" si="10"/>
        <v>0.16009999999999999</v>
      </c>
      <c r="H69" s="9">
        <f t="shared" si="11"/>
        <v>0.17</v>
      </c>
      <c r="I69" s="4">
        <f t="shared" si="12"/>
        <v>0.17</v>
      </c>
      <c r="J69" s="15">
        <v>10136.25</v>
      </c>
      <c r="K69" s="16">
        <v>9300</v>
      </c>
      <c r="L69" s="12">
        <f t="shared" ref="L69:L83" si="14">(J69+K69)/2</f>
        <v>9718.125</v>
      </c>
      <c r="M69" s="19">
        <v>5984</v>
      </c>
      <c r="N69" s="20">
        <v>7950</v>
      </c>
      <c r="O69" s="12">
        <f t="shared" ref="O69:O83" si="15">M69+N69/2</f>
        <v>9959</v>
      </c>
      <c r="P69" s="23">
        <v>4296.75</v>
      </c>
      <c r="Q69" s="24">
        <v>6175</v>
      </c>
      <c r="R69" s="11">
        <f t="shared" ref="R69:R83" si="16">(P69+Q69)/2</f>
        <v>5235.875</v>
      </c>
    </row>
    <row r="70" spans="1:22" x14ac:dyDescent="0.25">
      <c r="A70" s="26" t="s">
        <v>80</v>
      </c>
      <c r="B70" s="1">
        <v>20</v>
      </c>
      <c r="C70" s="1">
        <v>20</v>
      </c>
      <c r="D70" s="3"/>
      <c r="E70" s="5">
        <v>450</v>
      </c>
      <c r="F70" s="8">
        <f t="shared" si="13"/>
        <v>0.18000000000000002</v>
      </c>
      <c r="G70" s="8">
        <f t="shared" si="10"/>
        <v>0.1701</v>
      </c>
      <c r="H70" s="9">
        <f t="shared" si="11"/>
        <v>0.18000000000000002</v>
      </c>
      <c r="I70" s="4">
        <f t="shared" si="12"/>
        <v>0.18000000000000002</v>
      </c>
      <c r="J70" s="15">
        <v>10422</v>
      </c>
      <c r="K70" s="16">
        <v>9700</v>
      </c>
      <c r="L70" s="12">
        <f t="shared" si="14"/>
        <v>10061</v>
      </c>
      <c r="M70" s="19">
        <v>6151.5</v>
      </c>
      <c r="N70" s="20">
        <v>8300</v>
      </c>
      <c r="O70" s="12">
        <f t="shared" si="15"/>
        <v>10301.5</v>
      </c>
      <c r="P70" s="23">
        <v>4414.5</v>
      </c>
      <c r="Q70" s="24">
        <v>6450</v>
      </c>
      <c r="R70" s="11">
        <f t="shared" si="16"/>
        <v>5432.25</v>
      </c>
    </row>
    <row r="71" spans="1:22" x14ac:dyDescent="0.25">
      <c r="A71" s="26" t="s">
        <v>81</v>
      </c>
      <c r="B71" s="1">
        <v>20</v>
      </c>
      <c r="C71" s="1">
        <v>20</v>
      </c>
      <c r="D71" s="3"/>
      <c r="E71" s="5">
        <v>475</v>
      </c>
      <c r="F71" s="8">
        <f t="shared" si="13"/>
        <v>0.19</v>
      </c>
      <c r="G71" s="8">
        <f t="shared" ref="G71:G83" si="17">H70+0.0001</f>
        <v>0.18010000000000001</v>
      </c>
      <c r="H71" s="9">
        <f t="shared" ref="H71:H83" si="18">I71</f>
        <v>0.19</v>
      </c>
      <c r="I71" s="4">
        <f t="shared" si="12"/>
        <v>0.19</v>
      </c>
      <c r="J71" s="15">
        <v>10673.25</v>
      </c>
      <c r="K71" s="16">
        <v>10100</v>
      </c>
      <c r="L71" s="12">
        <f t="shared" si="14"/>
        <v>10386.625</v>
      </c>
      <c r="M71" s="19">
        <v>6303.25</v>
      </c>
      <c r="N71" s="20">
        <v>8650</v>
      </c>
      <c r="O71" s="12">
        <f t="shared" si="15"/>
        <v>10628.25</v>
      </c>
      <c r="P71" s="23">
        <v>4522</v>
      </c>
      <c r="Q71" s="24">
        <v>6725</v>
      </c>
      <c r="R71" s="11">
        <f t="shared" si="16"/>
        <v>5623.5</v>
      </c>
    </row>
    <row r="72" spans="1:22" x14ac:dyDescent="0.25">
      <c r="A72" s="26" t="s">
        <v>82</v>
      </c>
      <c r="B72" s="1">
        <v>20</v>
      </c>
      <c r="C72" s="1">
        <v>20</v>
      </c>
      <c r="D72" s="3"/>
      <c r="E72" s="5">
        <v>500</v>
      </c>
      <c r="F72" s="8">
        <f t="shared" si="13"/>
        <v>0.2</v>
      </c>
      <c r="G72" s="8">
        <f t="shared" si="17"/>
        <v>0.19009999999999999</v>
      </c>
      <c r="H72" s="9">
        <f t="shared" si="18"/>
        <v>0.2</v>
      </c>
      <c r="I72" s="4">
        <f t="shared" si="12"/>
        <v>0.2</v>
      </c>
      <c r="J72" s="15">
        <v>10890</v>
      </c>
      <c r="K72" s="16">
        <v>10500</v>
      </c>
      <c r="L72" s="12">
        <f t="shared" si="14"/>
        <v>10695</v>
      </c>
      <c r="M72" s="19">
        <v>6430</v>
      </c>
      <c r="N72" s="20">
        <f t="shared" ref="N72:N79" si="19">N73-700</f>
        <v>9000</v>
      </c>
      <c r="O72" s="12">
        <f t="shared" si="15"/>
        <v>10930</v>
      </c>
      <c r="P72" s="23">
        <v>4615</v>
      </c>
      <c r="Q72" s="24">
        <v>7000</v>
      </c>
      <c r="R72" s="11">
        <f t="shared" si="16"/>
        <v>5807.5</v>
      </c>
    </row>
    <row r="73" spans="1:22" x14ac:dyDescent="0.25">
      <c r="A73" s="26" t="s">
        <v>83</v>
      </c>
      <c r="B73" s="1">
        <v>20</v>
      </c>
      <c r="C73" s="1">
        <v>20</v>
      </c>
      <c r="D73" s="3"/>
      <c r="E73" s="5">
        <v>550</v>
      </c>
      <c r="F73" s="8">
        <f t="shared" si="13"/>
        <v>0.22</v>
      </c>
      <c r="G73" s="8">
        <f t="shared" si="17"/>
        <v>0.2001</v>
      </c>
      <c r="H73" s="9">
        <f t="shared" si="18"/>
        <v>0.22</v>
      </c>
      <c r="I73" s="4">
        <f t="shared" si="12"/>
        <v>0.22</v>
      </c>
      <c r="J73" s="15">
        <v>11027.5</v>
      </c>
      <c r="K73" s="16">
        <v>11300</v>
      </c>
      <c r="L73" s="12">
        <f t="shared" si="14"/>
        <v>11163.75</v>
      </c>
      <c r="M73" s="19">
        <v>6512</v>
      </c>
      <c r="N73" s="20">
        <f t="shared" si="19"/>
        <v>9700</v>
      </c>
      <c r="O73" s="12">
        <f t="shared" si="15"/>
        <v>11362</v>
      </c>
      <c r="P73" s="23">
        <v>4950</v>
      </c>
      <c r="Q73" s="24">
        <v>7000</v>
      </c>
      <c r="R73" s="11">
        <f t="shared" si="16"/>
        <v>5975</v>
      </c>
      <c r="V73" t="s">
        <v>13</v>
      </c>
    </row>
    <row r="74" spans="1:22" x14ac:dyDescent="0.25">
      <c r="A74" s="26" t="s">
        <v>84</v>
      </c>
      <c r="B74" s="1">
        <v>20</v>
      </c>
      <c r="C74" s="1">
        <v>20</v>
      </c>
      <c r="D74" s="3"/>
      <c r="E74" s="5">
        <v>600</v>
      </c>
      <c r="F74" s="8">
        <f t="shared" si="13"/>
        <v>0.24000000000000002</v>
      </c>
      <c r="G74" s="8">
        <f t="shared" si="17"/>
        <v>0.22009999999999999</v>
      </c>
      <c r="H74" s="9">
        <f t="shared" si="18"/>
        <v>0.24000000000000002</v>
      </c>
      <c r="I74" s="4">
        <f t="shared" si="12"/>
        <v>0.24000000000000002</v>
      </c>
      <c r="J74" s="15">
        <v>11340</v>
      </c>
      <c r="K74" s="16">
        <v>12100</v>
      </c>
      <c r="L74" s="12">
        <f t="shared" si="14"/>
        <v>11720</v>
      </c>
      <c r="M74" s="19">
        <v>6696</v>
      </c>
      <c r="N74" s="20">
        <f t="shared" si="19"/>
        <v>10400</v>
      </c>
      <c r="O74" s="12">
        <f t="shared" si="15"/>
        <v>11896</v>
      </c>
      <c r="P74" s="23">
        <v>5400</v>
      </c>
      <c r="Q74" s="24">
        <v>7500</v>
      </c>
      <c r="R74" s="11">
        <f t="shared" si="16"/>
        <v>6450</v>
      </c>
    </row>
    <row r="75" spans="1:22" x14ac:dyDescent="0.25">
      <c r="A75" s="26" t="s">
        <v>85</v>
      </c>
      <c r="B75" s="1">
        <v>20</v>
      </c>
      <c r="C75" s="1">
        <v>20</v>
      </c>
      <c r="D75" s="3"/>
      <c r="E75" s="5">
        <v>650</v>
      </c>
      <c r="F75" s="8">
        <f t="shared" si="13"/>
        <v>0.26</v>
      </c>
      <c r="G75" s="8">
        <f t="shared" si="17"/>
        <v>0.24010000000000001</v>
      </c>
      <c r="H75" s="9">
        <f t="shared" si="18"/>
        <v>0.26</v>
      </c>
      <c r="I75" s="4">
        <f t="shared" si="12"/>
        <v>0.26</v>
      </c>
      <c r="J75" s="15">
        <v>11609</v>
      </c>
      <c r="K75" s="16">
        <v>12900</v>
      </c>
      <c r="L75" s="12">
        <f t="shared" si="14"/>
        <v>12254.5</v>
      </c>
      <c r="M75" s="19">
        <v>6850.9999999999991</v>
      </c>
      <c r="N75" s="20">
        <f t="shared" si="19"/>
        <v>11100</v>
      </c>
      <c r="O75" s="12">
        <f t="shared" si="15"/>
        <v>12401</v>
      </c>
      <c r="P75" s="23">
        <v>5850</v>
      </c>
      <c r="Q75" s="24">
        <v>8000</v>
      </c>
      <c r="R75" s="11">
        <f t="shared" si="16"/>
        <v>6925</v>
      </c>
      <c r="U75" t="s">
        <v>13</v>
      </c>
    </row>
    <row r="76" spans="1:22" x14ac:dyDescent="0.25">
      <c r="A76" s="26" t="s">
        <v>86</v>
      </c>
      <c r="B76" s="1">
        <v>20</v>
      </c>
      <c r="C76" s="1">
        <v>20</v>
      </c>
      <c r="D76" s="3"/>
      <c r="E76" s="5">
        <v>700</v>
      </c>
      <c r="F76" s="8">
        <f t="shared" si="13"/>
        <v>0.28000000000000003</v>
      </c>
      <c r="G76" s="8">
        <f t="shared" si="17"/>
        <v>0.2601</v>
      </c>
      <c r="H76" s="9">
        <f t="shared" si="18"/>
        <v>0.28000000000000003</v>
      </c>
      <c r="I76" s="4">
        <f t="shared" si="12"/>
        <v>0.28000000000000003</v>
      </c>
      <c r="J76" s="15">
        <v>11858</v>
      </c>
      <c r="K76" s="16">
        <v>13700</v>
      </c>
      <c r="L76" s="12">
        <f t="shared" si="14"/>
        <v>12779</v>
      </c>
      <c r="M76" s="19">
        <v>7000</v>
      </c>
      <c r="N76" s="20">
        <f t="shared" si="19"/>
        <v>11800</v>
      </c>
      <c r="O76" s="12">
        <f t="shared" si="15"/>
        <v>12900</v>
      </c>
      <c r="P76" s="23">
        <v>6300</v>
      </c>
      <c r="Q76" s="24">
        <v>8500</v>
      </c>
      <c r="R76" s="11">
        <f t="shared" si="16"/>
        <v>7400</v>
      </c>
    </row>
    <row r="77" spans="1:22" x14ac:dyDescent="0.25">
      <c r="A77" s="26" t="s">
        <v>87</v>
      </c>
      <c r="B77" s="1">
        <v>20</v>
      </c>
      <c r="C77" s="1">
        <v>20</v>
      </c>
      <c r="D77" s="3"/>
      <c r="E77" s="5">
        <v>750</v>
      </c>
      <c r="F77" s="8">
        <f t="shared" si="13"/>
        <v>0.3</v>
      </c>
      <c r="G77" s="8">
        <f t="shared" si="17"/>
        <v>0.28010000000000002</v>
      </c>
      <c r="H77" s="9">
        <f t="shared" si="18"/>
        <v>0.3</v>
      </c>
      <c r="I77" s="4">
        <f t="shared" si="12"/>
        <v>0.3</v>
      </c>
      <c r="J77" s="15">
        <v>12015</v>
      </c>
      <c r="K77" s="16">
        <v>14500</v>
      </c>
      <c r="L77" s="12">
        <f t="shared" si="14"/>
        <v>13257.5</v>
      </c>
      <c r="M77" s="19">
        <v>7095.0000000000009</v>
      </c>
      <c r="N77" s="20">
        <f t="shared" si="19"/>
        <v>12500</v>
      </c>
      <c r="O77" s="12">
        <f t="shared" si="15"/>
        <v>13345</v>
      </c>
      <c r="P77" s="23">
        <v>6750</v>
      </c>
      <c r="Q77" s="24">
        <v>9000</v>
      </c>
      <c r="R77" s="11">
        <f t="shared" si="16"/>
        <v>7875</v>
      </c>
      <c r="U77" t="s">
        <v>13</v>
      </c>
    </row>
    <row r="78" spans="1:22" x14ac:dyDescent="0.25">
      <c r="A78" s="26" t="s">
        <v>88</v>
      </c>
      <c r="B78" s="1">
        <v>20</v>
      </c>
      <c r="C78" s="1">
        <v>20</v>
      </c>
      <c r="D78" s="3"/>
      <c r="E78" s="5">
        <v>800</v>
      </c>
      <c r="F78" s="8">
        <f t="shared" si="13"/>
        <v>0.32</v>
      </c>
      <c r="G78" s="8">
        <f t="shared" si="17"/>
        <v>0.30009999999999998</v>
      </c>
      <c r="H78" s="9">
        <f t="shared" si="18"/>
        <v>0.32</v>
      </c>
      <c r="I78" s="4">
        <f t="shared" si="12"/>
        <v>0.32</v>
      </c>
      <c r="J78" s="15">
        <v>12576</v>
      </c>
      <c r="K78" s="16">
        <v>15300</v>
      </c>
      <c r="L78" s="12">
        <f t="shared" si="14"/>
        <v>13938</v>
      </c>
      <c r="M78" s="19">
        <v>7480</v>
      </c>
      <c r="N78" s="20">
        <f t="shared" si="19"/>
        <v>13200</v>
      </c>
      <c r="O78" s="12">
        <f t="shared" si="15"/>
        <v>14080</v>
      </c>
      <c r="P78" s="23">
        <v>7200</v>
      </c>
      <c r="Q78" s="24">
        <v>8700</v>
      </c>
      <c r="R78" s="11">
        <f t="shared" si="16"/>
        <v>7950</v>
      </c>
    </row>
    <row r="79" spans="1:22" x14ac:dyDescent="0.25">
      <c r="A79" s="26" t="s">
        <v>89</v>
      </c>
      <c r="B79" s="1">
        <v>20</v>
      </c>
      <c r="C79" s="1">
        <v>20</v>
      </c>
      <c r="D79" s="3"/>
      <c r="E79" s="5">
        <v>850</v>
      </c>
      <c r="F79" s="8">
        <f t="shared" si="13"/>
        <v>0.34</v>
      </c>
      <c r="G79" s="8">
        <f t="shared" si="17"/>
        <v>0.3201</v>
      </c>
      <c r="H79" s="9">
        <f t="shared" si="18"/>
        <v>0.34</v>
      </c>
      <c r="I79" s="4">
        <f t="shared" si="12"/>
        <v>0.34</v>
      </c>
      <c r="J79" s="15">
        <v>12962.5</v>
      </c>
      <c r="K79" s="16">
        <v>16100</v>
      </c>
      <c r="L79" s="12">
        <f t="shared" si="14"/>
        <v>14531.25</v>
      </c>
      <c r="M79" s="19">
        <v>7650</v>
      </c>
      <c r="N79" s="20">
        <f t="shared" si="19"/>
        <v>13900</v>
      </c>
      <c r="O79" s="12">
        <f t="shared" si="15"/>
        <v>14600</v>
      </c>
      <c r="P79" s="23">
        <v>7650</v>
      </c>
      <c r="Q79" s="24">
        <v>9150</v>
      </c>
      <c r="R79" s="11">
        <f t="shared" si="16"/>
        <v>8400</v>
      </c>
    </row>
    <row r="80" spans="1:22" x14ac:dyDescent="0.25">
      <c r="A80" s="26" t="s">
        <v>90</v>
      </c>
      <c r="B80" s="1">
        <v>20</v>
      </c>
      <c r="C80" s="1">
        <v>20</v>
      </c>
      <c r="D80" s="3"/>
      <c r="E80" s="5">
        <v>900</v>
      </c>
      <c r="F80" s="8">
        <f t="shared" si="13"/>
        <v>0.36000000000000004</v>
      </c>
      <c r="G80" s="8">
        <f t="shared" si="17"/>
        <v>0.34010000000000001</v>
      </c>
      <c r="H80" s="9">
        <f t="shared" si="18"/>
        <v>0.36000000000000004</v>
      </c>
      <c r="I80" s="4">
        <f t="shared" si="12"/>
        <v>0.36000000000000004</v>
      </c>
      <c r="J80" s="15">
        <v>13023</v>
      </c>
      <c r="K80" s="16">
        <v>16900</v>
      </c>
      <c r="L80" s="12">
        <f t="shared" si="14"/>
        <v>14961.5</v>
      </c>
      <c r="M80" s="19">
        <v>8100</v>
      </c>
      <c r="N80" s="20">
        <v>14600</v>
      </c>
      <c r="O80" s="12">
        <f t="shared" si="15"/>
        <v>15400</v>
      </c>
      <c r="P80" s="23">
        <v>8100</v>
      </c>
      <c r="Q80" s="24">
        <v>9600</v>
      </c>
      <c r="R80" s="11">
        <f t="shared" si="16"/>
        <v>8850</v>
      </c>
    </row>
    <row r="81" spans="1:18" x14ac:dyDescent="0.25">
      <c r="A81" s="26" t="s">
        <v>91</v>
      </c>
      <c r="B81" s="1">
        <v>20</v>
      </c>
      <c r="C81" s="1">
        <v>20</v>
      </c>
      <c r="D81" s="3"/>
      <c r="E81" s="5">
        <v>950</v>
      </c>
      <c r="F81" s="8">
        <f t="shared" si="13"/>
        <v>0.38</v>
      </c>
      <c r="G81" s="8">
        <f t="shared" si="17"/>
        <v>0.36010000000000003</v>
      </c>
      <c r="H81" s="9">
        <f t="shared" si="18"/>
        <v>0.38</v>
      </c>
      <c r="I81" s="4">
        <f t="shared" si="12"/>
        <v>0.38</v>
      </c>
      <c r="J81" s="15">
        <v>13300</v>
      </c>
      <c r="K81" s="16">
        <v>17700</v>
      </c>
      <c r="L81" s="12">
        <f t="shared" si="14"/>
        <v>15500</v>
      </c>
      <c r="M81" s="19">
        <v>8550</v>
      </c>
      <c r="N81" s="20">
        <v>15300</v>
      </c>
      <c r="O81" s="12">
        <f t="shared" si="15"/>
        <v>16200</v>
      </c>
      <c r="P81" s="23">
        <v>8550</v>
      </c>
      <c r="Q81" s="24">
        <v>10050</v>
      </c>
      <c r="R81" s="11">
        <f t="shared" si="16"/>
        <v>9300</v>
      </c>
    </row>
    <row r="82" spans="1:18" x14ac:dyDescent="0.25">
      <c r="A82" s="26" t="s">
        <v>92</v>
      </c>
      <c r="B82" s="1">
        <v>20</v>
      </c>
      <c r="C82" s="1">
        <v>20</v>
      </c>
      <c r="D82" s="3"/>
      <c r="E82" s="5">
        <v>1000</v>
      </c>
      <c r="F82" s="8">
        <f t="shared" si="13"/>
        <v>0.4</v>
      </c>
      <c r="G82" s="8">
        <f t="shared" si="17"/>
        <v>0.38009999999999999</v>
      </c>
      <c r="H82" s="9">
        <f t="shared" si="18"/>
        <v>0.4</v>
      </c>
      <c r="I82" s="4">
        <f t="shared" si="12"/>
        <v>0.4</v>
      </c>
      <c r="J82" s="15">
        <v>13530</v>
      </c>
      <c r="K82" s="16">
        <v>18500</v>
      </c>
      <c r="L82" s="12">
        <f t="shared" si="14"/>
        <v>16015</v>
      </c>
      <c r="M82" s="19">
        <v>9000</v>
      </c>
      <c r="N82" s="20">
        <v>16000</v>
      </c>
      <c r="O82" s="12">
        <f t="shared" si="15"/>
        <v>17000</v>
      </c>
      <c r="P82" s="23">
        <v>9000</v>
      </c>
      <c r="Q82" s="24">
        <v>10500</v>
      </c>
      <c r="R82" s="11">
        <f t="shared" si="16"/>
        <v>9750</v>
      </c>
    </row>
    <row r="83" spans="1:18" x14ac:dyDescent="0.25">
      <c r="A83" s="26" t="s">
        <v>93</v>
      </c>
      <c r="B83" s="1">
        <v>20</v>
      </c>
      <c r="C83" s="1">
        <v>20</v>
      </c>
      <c r="D83" s="3"/>
      <c r="E83" s="5">
        <v>1100</v>
      </c>
      <c r="F83" s="8">
        <f t="shared" si="13"/>
        <v>0.44</v>
      </c>
      <c r="G83" s="8">
        <f t="shared" si="17"/>
        <v>0.40010000000000001</v>
      </c>
      <c r="H83" s="9">
        <f t="shared" si="18"/>
        <v>0.44</v>
      </c>
      <c r="I83" s="4">
        <f t="shared" si="12"/>
        <v>0.44</v>
      </c>
      <c r="J83" s="15">
        <v>14465</v>
      </c>
      <c r="K83" s="16">
        <v>20100</v>
      </c>
      <c r="L83" s="12">
        <f t="shared" si="14"/>
        <v>17282.5</v>
      </c>
      <c r="M83" s="19">
        <v>9900</v>
      </c>
      <c r="N83" s="20">
        <v>17400</v>
      </c>
      <c r="O83" s="12">
        <f t="shared" si="15"/>
        <v>18600</v>
      </c>
      <c r="P83" s="23">
        <v>9900</v>
      </c>
      <c r="Q83" s="24">
        <v>10300</v>
      </c>
      <c r="R83" s="11">
        <f t="shared" si="16"/>
        <v>10100</v>
      </c>
    </row>
    <row r="84" spans="1:18" x14ac:dyDescent="0.25">
      <c r="H84" s="2" t="s">
        <v>13</v>
      </c>
    </row>
    <row r="85" spans="1:18" x14ac:dyDescent="0.25">
      <c r="A85" s="27" t="s">
        <v>94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 spans="1:18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</row>
  </sheetData>
  <dataConsolidate function="product">
    <dataRefs count="1">
      <dataRef ref="E1:F1048576" sheet="Sheet1"/>
    </dataRefs>
  </dataConsolidate>
  <mergeCells count="10">
    <mergeCell ref="A85:R86"/>
    <mergeCell ref="P1:R1"/>
    <mergeCell ref="J1:L1"/>
    <mergeCell ref="M1:O1"/>
    <mergeCell ref="G1:H3"/>
    <mergeCell ref="B1:B3"/>
    <mergeCell ref="C1:C3"/>
    <mergeCell ref="E1:E3"/>
    <mergeCell ref="I1:I3"/>
    <mergeCell ref="F1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2026-03-06T10:04:29Z</dcterms:created>
  <dcterms:modified xsi:type="dcterms:W3CDTF">2026-04-17T06:21:09Z</dcterms:modified>
</cp:coreProperties>
</file>