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5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/>
  <c r="L4"/>
  <c r="K4"/>
  <c r="J4"/>
  <c r="I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5"/>
  <c r="G6" l="1"/>
  <c r="G7"/>
  <c r="H6"/>
  <c r="I84"/>
  <c r="H84" s="1"/>
  <c r="I83"/>
  <c r="H83" s="1"/>
  <c r="G84" s="1"/>
  <c r="I82"/>
  <c r="H82" s="1"/>
  <c r="G83" s="1"/>
  <c r="I81"/>
  <c r="H81" s="1"/>
  <c r="G82" s="1"/>
  <c r="I80"/>
  <c r="H80" s="1"/>
  <c r="G81" s="1"/>
  <c r="I79"/>
  <c r="H79" s="1"/>
  <c r="G80" s="1"/>
  <c r="I78"/>
  <c r="H78" s="1"/>
  <c r="G79" s="1"/>
  <c r="I77"/>
  <c r="H77" s="1"/>
  <c r="G78" s="1"/>
  <c r="I76"/>
  <c r="H76" s="1"/>
  <c r="G77" s="1"/>
  <c r="I75"/>
  <c r="H75" s="1"/>
  <c r="G76" s="1"/>
  <c r="I74"/>
  <c r="H74" s="1"/>
  <c r="G75" s="1"/>
  <c r="I73"/>
  <c r="H73" s="1"/>
  <c r="G74" s="1"/>
  <c r="I72"/>
  <c r="H72" s="1"/>
  <c r="G73" s="1"/>
  <c r="I71"/>
  <c r="H71" s="1"/>
  <c r="G72" s="1"/>
  <c r="I70"/>
  <c r="H70" s="1"/>
  <c r="G71" s="1"/>
  <c r="I69"/>
  <c r="H69" s="1"/>
  <c r="G70" s="1"/>
  <c r="I68"/>
  <c r="H68" s="1"/>
  <c r="G69" s="1"/>
  <c r="I67"/>
  <c r="H67" s="1"/>
  <c r="G68" s="1"/>
  <c r="I66"/>
  <c r="H66" s="1"/>
  <c r="G67" s="1"/>
  <c r="I65"/>
  <c r="H65" s="1"/>
  <c r="G66" s="1"/>
  <c r="I64"/>
  <c r="H64" s="1"/>
  <c r="G65" s="1"/>
  <c r="I63"/>
  <c r="H63" s="1"/>
  <c r="G64" s="1"/>
  <c r="I62"/>
  <c r="H62" s="1"/>
  <c r="G63" s="1"/>
  <c r="I61"/>
  <c r="H61" s="1"/>
  <c r="G62" s="1"/>
  <c r="I60"/>
  <c r="H60" s="1"/>
  <c r="G61" s="1"/>
  <c r="I59"/>
  <c r="H59" s="1"/>
  <c r="G60" s="1"/>
  <c r="I58"/>
  <c r="H58" s="1"/>
  <c r="G59" s="1"/>
  <c r="I57"/>
  <c r="H57" s="1"/>
  <c r="G58" s="1"/>
  <c r="I56"/>
  <c r="H56" s="1"/>
  <c r="G57" s="1"/>
  <c r="I55"/>
  <c r="H55" s="1"/>
  <c r="G56" s="1"/>
  <c r="I54"/>
  <c r="H54" s="1"/>
  <c r="G55" s="1"/>
  <c r="I53"/>
  <c r="H53" s="1"/>
  <c r="G54" s="1"/>
  <c r="I52"/>
  <c r="H52" s="1"/>
  <c r="G53" s="1"/>
  <c r="I51"/>
  <c r="H51" s="1"/>
  <c r="G52" s="1"/>
  <c r="I50"/>
  <c r="H50" s="1"/>
  <c r="G51" s="1"/>
  <c r="I49"/>
  <c r="H49" s="1"/>
  <c r="G50" s="1"/>
  <c r="D49"/>
  <c r="I48"/>
  <c r="H48" s="1"/>
  <c r="G49" s="1"/>
  <c r="D48"/>
  <c r="I47"/>
  <c r="H47" s="1"/>
  <c r="G48" s="1"/>
  <c r="D47"/>
  <c r="I46"/>
  <c r="H46" s="1"/>
  <c r="G47" s="1"/>
  <c r="D46"/>
  <c r="I45"/>
  <c r="H45" s="1"/>
  <c r="G46" s="1"/>
  <c r="D45"/>
  <c r="I44"/>
  <c r="H44" s="1"/>
  <c r="G45" s="1"/>
  <c r="D44"/>
  <c r="I43"/>
  <c r="H43" s="1"/>
  <c r="G44" s="1"/>
  <c r="D43"/>
  <c r="I42"/>
  <c r="H42" s="1"/>
  <c r="G43" s="1"/>
  <c r="D42"/>
  <c r="I41"/>
  <c r="H41" s="1"/>
  <c r="G42" s="1"/>
  <c r="D41"/>
  <c r="I40"/>
  <c r="H40" s="1"/>
  <c r="G41" s="1"/>
  <c r="D40"/>
  <c r="I39"/>
  <c r="H39" s="1"/>
  <c r="G40" s="1"/>
  <c r="D39"/>
  <c r="I38"/>
  <c r="H38" s="1"/>
  <c r="G39" s="1"/>
  <c r="D38"/>
  <c r="I37"/>
  <c r="H37" s="1"/>
  <c r="G38" s="1"/>
  <c r="D37"/>
  <c r="I36"/>
  <c r="H36" s="1"/>
  <c r="G37" s="1"/>
  <c r="D36"/>
  <c r="I35"/>
  <c r="H35" s="1"/>
  <c r="G36" s="1"/>
  <c r="D35"/>
  <c r="I34"/>
  <c r="H34" s="1"/>
  <c r="G35" s="1"/>
  <c r="D34"/>
  <c r="I33"/>
  <c r="H33" s="1"/>
  <c r="G34" s="1"/>
  <c r="D33"/>
  <c r="I32"/>
  <c r="H32" s="1"/>
  <c r="G33" s="1"/>
  <c r="D32"/>
  <c r="I31"/>
  <c r="H31" s="1"/>
  <c r="G32" s="1"/>
  <c r="D31"/>
  <c r="I30"/>
  <c r="H30" s="1"/>
  <c r="G31" s="1"/>
  <c r="D30"/>
  <c r="I29"/>
  <c r="H29" s="1"/>
  <c r="G30" s="1"/>
  <c r="D29"/>
  <c r="I28"/>
  <c r="H28" s="1"/>
  <c r="G29" s="1"/>
  <c r="D28"/>
  <c r="I27"/>
  <c r="H27" s="1"/>
  <c r="G28" s="1"/>
  <c r="D27"/>
  <c r="I26"/>
  <c r="H26" s="1"/>
  <c r="G27" s="1"/>
  <c r="D26"/>
  <c r="I25"/>
  <c r="H25" s="1"/>
  <c r="G26" s="1"/>
  <c r="D25"/>
  <c r="I24"/>
  <c r="H24" s="1"/>
  <c r="G25" s="1"/>
  <c r="D24"/>
  <c r="I23"/>
  <c r="H23" s="1"/>
  <c r="G24" s="1"/>
  <c r="D23"/>
  <c r="I22"/>
  <c r="H22" s="1"/>
  <c r="G23" s="1"/>
  <c r="D22"/>
  <c r="I21"/>
  <c r="H21" s="1"/>
  <c r="G22" s="1"/>
  <c r="D21"/>
  <c r="I20"/>
  <c r="H20" s="1"/>
  <c r="G21" s="1"/>
  <c r="D20"/>
  <c r="I19"/>
  <c r="H19" s="1"/>
  <c r="G20" s="1"/>
  <c r="D19"/>
  <c r="I18"/>
  <c r="H18" s="1"/>
  <c r="G19" s="1"/>
  <c r="D18"/>
  <c r="I17"/>
  <c r="H17" s="1"/>
  <c r="G18" s="1"/>
  <c r="D17"/>
  <c r="I16"/>
  <c r="H16" s="1"/>
  <c r="G17" s="1"/>
  <c r="D16"/>
  <c r="I15"/>
  <c r="H15" s="1"/>
  <c r="G16" s="1"/>
  <c r="D15"/>
  <c r="I14"/>
  <c r="H14" s="1"/>
  <c r="G15" s="1"/>
  <c r="D14"/>
  <c r="I13"/>
  <c r="H13" s="1"/>
  <c r="G14" s="1"/>
  <c r="D13"/>
  <c r="I12"/>
  <c r="H12" s="1"/>
  <c r="G13" s="1"/>
  <c r="D12"/>
  <c r="I11"/>
  <c r="H11" s="1"/>
  <c r="G12" s="1"/>
  <c r="D11"/>
  <c r="I10"/>
  <c r="H10" s="1"/>
  <c r="G11" s="1"/>
  <c r="D10"/>
  <c r="I9"/>
  <c r="H9" s="1"/>
  <c r="G10" s="1"/>
  <c r="D9"/>
  <c r="I8"/>
  <c r="H8" s="1"/>
  <c r="G9" s="1"/>
  <c r="D8"/>
  <c r="I7"/>
  <c r="H7" s="1"/>
  <c r="G8" s="1"/>
  <c r="D7"/>
  <c r="I6"/>
  <c r="D6"/>
  <c r="D5"/>
</calcChain>
</file>

<file path=xl/sharedStrings.xml><?xml version="1.0" encoding="utf-8"?>
<sst xmlns="http://schemas.openxmlformats.org/spreadsheetml/2006/main" count="102" uniqueCount="94">
  <si>
    <t>3 WD</t>
  </si>
  <si>
    <t>TOTAL</t>
  </si>
  <si>
    <t>SIZE X</t>
  </si>
  <si>
    <t>SIZE Y</t>
  </si>
  <si>
    <t>QTY</t>
  </si>
  <si>
    <t>SQ.MTR</t>
  </si>
  <si>
    <t>5 WD</t>
  </si>
  <si>
    <t>7 WD</t>
  </si>
  <si>
    <t>PG</t>
  </si>
  <si>
    <t>RANGE</t>
  </si>
  <si>
    <t>CALCULATIONS</t>
  </si>
  <si>
    <t xml:space="preserve"> </t>
  </si>
  <si>
    <t>ITEM NO 1</t>
  </si>
  <si>
    <t>ITEM NO 2</t>
  </si>
  <si>
    <t>ITEM NO 3</t>
  </si>
  <si>
    <t>ITEM NO 4</t>
  </si>
  <si>
    <t>ITEM NO 5</t>
  </si>
  <si>
    <t>ITEM NO 6</t>
  </si>
  <si>
    <t>ITEM NO 7</t>
  </si>
  <si>
    <t>ITEM NO 8</t>
  </si>
  <si>
    <t>ITEM NO 9</t>
  </si>
  <si>
    <t>ITEM NO 10</t>
  </si>
  <si>
    <t>ITEM NO 11</t>
  </si>
  <si>
    <t>ITEM NO 12</t>
  </si>
  <si>
    <t>ITEM NO 13</t>
  </si>
  <si>
    <t>ITEM NO 14</t>
  </si>
  <si>
    <t>ITEM NO 15</t>
  </si>
  <si>
    <t>ITEM NO 16</t>
  </si>
  <si>
    <t>ITEM NO 17</t>
  </si>
  <si>
    <t>ITEM NO 18</t>
  </si>
  <si>
    <t>ITEM NO 19</t>
  </si>
  <si>
    <t>ITEM NO 20</t>
  </si>
  <si>
    <t>ITEM NO 21</t>
  </si>
  <si>
    <t>ITEM NO 22</t>
  </si>
  <si>
    <t>ITEM NO 23</t>
  </si>
  <si>
    <t>ITEM NO 24</t>
  </si>
  <si>
    <t>ITEM NO 25</t>
  </si>
  <si>
    <t>ITEM NO 26</t>
  </si>
  <si>
    <t>ITEM NO 27</t>
  </si>
  <si>
    <t>ITEM NO 28</t>
  </si>
  <si>
    <t>ITEM NO 29</t>
  </si>
  <si>
    <t>ITEM NO 30</t>
  </si>
  <si>
    <t>ITEM NO 31</t>
  </si>
  <si>
    <t>ITEM NO 32</t>
  </si>
  <si>
    <t>ITEM NO 33</t>
  </si>
  <si>
    <t>ITEM NO 34</t>
  </si>
  <si>
    <t>ITEM NO 35</t>
  </si>
  <si>
    <t>ITEM NO 36</t>
  </si>
  <si>
    <t>ITEM NO 37</t>
  </si>
  <si>
    <t>ITEM NO 38</t>
  </si>
  <si>
    <t>ITEM NO 39</t>
  </si>
  <si>
    <t>ITEM NO 40</t>
  </si>
  <si>
    <t>ITEM NO 41</t>
  </si>
  <si>
    <t>ITEM NO 42</t>
  </si>
  <si>
    <t>ITEM NO 43</t>
  </si>
  <si>
    <t>ITEM NO 44</t>
  </si>
  <si>
    <t>ITEM NO 45</t>
  </si>
  <si>
    <t>ITEM NO 46</t>
  </si>
  <si>
    <t>ITEM NO 47</t>
  </si>
  <si>
    <t>ITEM NO 48</t>
  </si>
  <si>
    <t>ITEM NO 49</t>
  </si>
  <si>
    <t>ITEM NO 50</t>
  </si>
  <si>
    <t>ITEM NO 51</t>
  </si>
  <si>
    <t>ITEM NO 52</t>
  </si>
  <si>
    <t>ITEM NO 53</t>
  </si>
  <si>
    <t>ITEM NO 54</t>
  </si>
  <si>
    <t>ITEM NO 55</t>
  </si>
  <si>
    <t>ITEM NO 56</t>
  </si>
  <si>
    <t>ITEM NO 57</t>
  </si>
  <si>
    <t>ITEM NO 58</t>
  </si>
  <si>
    <t>ITEM NO 59</t>
  </si>
  <si>
    <t>ITEM NO 60</t>
  </si>
  <si>
    <t>ITEM NO 61</t>
  </si>
  <si>
    <t>ITEM NO 62</t>
  </si>
  <si>
    <t>ITEM NO 63</t>
  </si>
  <si>
    <t>ITEM NO 64</t>
  </si>
  <si>
    <t>ITEM NO 65</t>
  </si>
  <si>
    <t>ITEM NO 66</t>
  </si>
  <si>
    <t>ITEM NO 67</t>
  </si>
  <si>
    <t>ITEM NO 68</t>
  </si>
  <si>
    <t>ITEM NO 69</t>
  </si>
  <si>
    <t>ITEM NO 70</t>
  </si>
  <si>
    <t>ITEM NO 71</t>
  </si>
  <si>
    <t>ITEM NO 72</t>
  </si>
  <si>
    <t>ITEM NO 73</t>
  </si>
  <si>
    <t>ITEM NO 74</t>
  </si>
  <si>
    <t>ITEM NO 75</t>
  </si>
  <si>
    <t>ITEM NO 76</t>
  </si>
  <si>
    <t>ITEM NO 77</t>
  </si>
  <si>
    <t>ITEM NO 78</t>
  </si>
  <si>
    <t>ITEM NO 79</t>
  </si>
  <si>
    <t>ITEM NO 80</t>
  </si>
  <si>
    <t>ABOVE 0.44 SQ.METER YOU HAVE TO SHOW POP UP ,  FOR BULK ORDER PLEASE MAIL INQUIRY ON info@pcbglobe.com</t>
  </si>
  <si>
    <t>1 WD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</si>
</sst>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0" xfId="0" applyFill="1"/>
    <xf numFmtId="1" fontId="1" fillId="4" borderId="1" xfId="0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7"/>
  <sheetViews>
    <sheetView tabSelected="1" workbookViewId="0">
      <selection activeCell="K8" sqref="K8"/>
    </sheetView>
  </sheetViews>
  <sheetFormatPr defaultRowHeight="15"/>
  <cols>
    <col min="1" max="1" width="16.42578125" style="10" customWidth="1"/>
    <col min="2" max="3" width="6.140625" style="2" bestFit="1" customWidth="1"/>
    <col min="4" max="4" width="5" style="2" hidden="1" customWidth="1"/>
    <col min="5" max="5" width="5" style="2" bestFit="1" customWidth="1"/>
    <col min="6" max="6" width="16.85546875" style="2" customWidth="1"/>
    <col min="7" max="7" width="7" style="2" bestFit="1" customWidth="1"/>
    <col min="8" max="8" width="6.5703125" style="2" bestFit="1" customWidth="1"/>
    <col min="9" max="9" width="9.140625" style="2"/>
    <col min="10" max="10" width="23.42578125" style="2" customWidth="1"/>
    <col min="11" max="11" width="20.140625" style="2" customWidth="1"/>
    <col min="12" max="12" width="22.42578125" customWidth="1"/>
    <col min="13" max="13" width="22.28515625" customWidth="1"/>
  </cols>
  <sheetData>
    <row r="1" spans="1:17">
      <c r="B1" s="14" t="s">
        <v>2</v>
      </c>
      <c r="C1" s="14" t="s">
        <v>3</v>
      </c>
      <c r="D1" s="6"/>
      <c r="E1" s="14" t="s">
        <v>4</v>
      </c>
      <c r="F1" s="14" t="s">
        <v>10</v>
      </c>
      <c r="G1" s="14" t="s">
        <v>9</v>
      </c>
      <c r="H1" s="14"/>
      <c r="I1" s="14" t="s">
        <v>5</v>
      </c>
      <c r="J1" s="15" t="s">
        <v>93</v>
      </c>
      <c r="K1" s="15" t="s">
        <v>0</v>
      </c>
      <c r="L1" s="15" t="s">
        <v>6</v>
      </c>
      <c r="M1" s="15" t="s">
        <v>7</v>
      </c>
    </row>
    <row r="2" spans="1:17">
      <c r="B2" s="14"/>
      <c r="C2" s="14"/>
      <c r="D2" s="6"/>
      <c r="E2" s="14"/>
      <c r="F2" s="14"/>
      <c r="G2" s="14"/>
      <c r="H2" s="14"/>
      <c r="I2" s="14"/>
      <c r="J2" s="16" t="s">
        <v>1</v>
      </c>
      <c r="K2" s="16" t="s">
        <v>1</v>
      </c>
      <c r="L2" s="16" t="s">
        <v>1</v>
      </c>
      <c r="M2" s="16" t="s">
        <v>1</v>
      </c>
    </row>
    <row r="3" spans="1:17">
      <c r="B3" s="14"/>
      <c r="C3" s="14"/>
      <c r="D3" s="12"/>
      <c r="E3" s="14"/>
      <c r="F3" s="14"/>
      <c r="G3" s="14"/>
      <c r="H3" s="14"/>
      <c r="I3" s="14"/>
      <c r="J3" s="16" t="s">
        <v>8</v>
      </c>
      <c r="K3" s="16" t="s">
        <v>8</v>
      </c>
      <c r="L3" s="16" t="s">
        <v>8</v>
      </c>
      <c r="M3" s="16" t="s">
        <v>8</v>
      </c>
    </row>
    <row r="4" spans="1:17" s="23" customFormat="1">
      <c r="A4" s="19"/>
      <c r="B4" s="25"/>
      <c r="C4" s="25"/>
      <c r="D4" s="25"/>
      <c r="E4" s="20"/>
      <c r="F4" s="20"/>
      <c r="G4" s="21"/>
      <c r="H4" s="22"/>
      <c r="I4" s="25"/>
      <c r="J4" s="24">
        <f>B5*C5/100*0.85*E5+1750</f>
        <v>1756.8</v>
      </c>
      <c r="K4" s="9">
        <f>B5*C5/100*E5*0.75+1550</f>
        <v>1556</v>
      </c>
      <c r="L4" s="24">
        <f>B5*C5/100*E5*0.65+1050</f>
        <v>1055.2</v>
      </c>
      <c r="M4" s="24">
        <f>B5*C5/100*E5*0.55+750</f>
        <v>754.4</v>
      </c>
    </row>
    <row r="5" spans="1:17">
      <c r="A5" s="11" t="s">
        <v>12</v>
      </c>
      <c r="B5" s="1">
        <v>20</v>
      </c>
      <c r="C5" s="1">
        <v>20</v>
      </c>
      <c r="D5" s="3">
        <f t="shared" ref="D5:D49" si="0">B5*C5/1000000</f>
        <v>4.0000000000000002E-4</v>
      </c>
      <c r="E5" s="7">
        <v>2</v>
      </c>
      <c r="F5" s="7">
        <f>B5*C5/1000000*E5</f>
        <v>8.0000000000000004E-4</v>
      </c>
      <c r="G5" s="7">
        <v>0</v>
      </c>
      <c r="H5" s="8">
        <v>1E-3</v>
      </c>
      <c r="I5" s="4">
        <f>B5*C5/1000000*E5</f>
        <v>8.0000000000000004E-4</v>
      </c>
      <c r="J5" s="17">
        <f>B5*C5/100*0.85*E5+1750</f>
        <v>1756.8</v>
      </c>
      <c r="K5" s="18">
        <v>1556</v>
      </c>
      <c r="L5" s="17">
        <v>1055.2</v>
      </c>
      <c r="M5" s="17">
        <v>754.4</v>
      </c>
    </row>
    <row r="6" spans="1:17">
      <c r="A6" s="11" t="s">
        <v>13</v>
      </c>
      <c r="B6" s="1">
        <v>20</v>
      </c>
      <c r="C6" s="1">
        <v>20</v>
      </c>
      <c r="D6" s="3">
        <f t="shared" si="0"/>
        <v>4.0000000000000002E-4</v>
      </c>
      <c r="E6" s="1">
        <v>5</v>
      </c>
      <c r="F6" s="7">
        <f t="shared" ref="F6:F69" si="1">B6*C6/1000000*E6</f>
        <v>2E-3</v>
      </c>
      <c r="G6" s="7">
        <f>0.001+0.0001</f>
        <v>1.1000000000000001E-3</v>
      </c>
      <c r="H6" s="8">
        <f>0.001+0.001</f>
        <v>2E-3</v>
      </c>
      <c r="I6" s="4">
        <f t="shared" ref="I6:I68" si="2">B6*C6/1000000*E6</f>
        <v>2E-3</v>
      </c>
      <c r="J6" s="17">
        <f t="shared" ref="J6:J69" si="3">B6*C6/100*0.85*E6+1750</f>
        <v>1767</v>
      </c>
      <c r="K6" s="18">
        <v>1565</v>
      </c>
      <c r="L6" s="18">
        <v>1063</v>
      </c>
      <c r="M6" s="17">
        <v>761</v>
      </c>
      <c r="Q6" t="s">
        <v>11</v>
      </c>
    </row>
    <row r="7" spans="1:17">
      <c r="A7" s="11" t="s">
        <v>14</v>
      </c>
      <c r="B7" s="1">
        <v>20</v>
      </c>
      <c r="C7" s="1">
        <v>20</v>
      </c>
      <c r="D7" s="3">
        <f t="shared" si="0"/>
        <v>4.0000000000000002E-4</v>
      </c>
      <c r="E7" s="1">
        <v>10</v>
      </c>
      <c r="F7" s="7">
        <f t="shared" si="1"/>
        <v>4.0000000000000001E-3</v>
      </c>
      <c r="G7" s="7">
        <f>0.002+0.0001</f>
        <v>2.0999999999999999E-3</v>
      </c>
      <c r="H7" s="8">
        <f>I7+0.0001</f>
        <v>4.1000000000000003E-3</v>
      </c>
      <c r="I7" s="4">
        <f t="shared" si="2"/>
        <v>4.0000000000000001E-3</v>
      </c>
      <c r="J7" s="17">
        <f t="shared" si="3"/>
        <v>1784</v>
      </c>
      <c r="K7" s="18">
        <v>1580</v>
      </c>
      <c r="L7" s="18">
        <v>1076</v>
      </c>
      <c r="M7" s="17">
        <v>772</v>
      </c>
    </row>
    <row r="8" spans="1:17">
      <c r="A8" s="11" t="s">
        <v>15</v>
      </c>
      <c r="B8" s="1">
        <v>20</v>
      </c>
      <c r="C8" s="1">
        <v>20</v>
      </c>
      <c r="D8" s="3">
        <f t="shared" si="0"/>
        <v>4.0000000000000002E-4</v>
      </c>
      <c r="E8" s="3">
        <v>15</v>
      </c>
      <c r="F8" s="7">
        <f t="shared" si="1"/>
        <v>6.0000000000000001E-3</v>
      </c>
      <c r="G8" s="7">
        <f t="shared" ref="G8:G39" si="4">H7+0.0001</f>
        <v>4.2000000000000006E-3</v>
      </c>
      <c r="H8" s="8">
        <f t="shared" ref="H8:H39" si="5">I8</f>
        <v>6.0000000000000001E-3</v>
      </c>
      <c r="I8" s="4">
        <f t="shared" si="2"/>
        <v>6.0000000000000001E-3</v>
      </c>
      <c r="J8" s="17">
        <f t="shared" si="3"/>
        <v>1801</v>
      </c>
      <c r="K8" s="18">
        <v>1595</v>
      </c>
      <c r="L8" s="18">
        <v>1089</v>
      </c>
      <c r="M8" s="17">
        <v>783</v>
      </c>
    </row>
    <row r="9" spans="1:17">
      <c r="A9" s="11" t="s">
        <v>16</v>
      </c>
      <c r="B9" s="1">
        <v>20</v>
      </c>
      <c r="C9" s="1">
        <v>20</v>
      </c>
      <c r="D9" s="3">
        <f t="shared" si="0"/>
        <v>4.0000000000000002E-4</v>
      </c>
      <c r="E9" s="3">
        <v>20</v>
      </c>
      <c r="F9" s="7">
        <f t="shared" si="1"/>
        <v>8.0000000000000002E-3</v>
      </c>
      <c r="G9" s="7">
        <f t="shared" si="4"/>
        <v>6.1000000000000004E-3</v>
      </c>
      <c r="H9" s="8">
        <f t="shared" si="5"/>
        <v>8.0000000000000002E-3</v>
      </c>
      <c r="I9" s="4">
        <f t="shared" si="2"/>
        <v>8.0000000000000002E-3</v>
      </c>
      <c r="J9" s="17">
        <f t="shared" si="3"/>
        <v>1818</v>
      </c>
      <c r="K9" s="18">
        <v>1610</v>
      </c>
      <c r="L9" s="18">
        <v>1102</v>
      </c>
      <c r="M9" s="17">
        <v>794</v>
      </c>
    </row>
    <row r="10" spans="1:17">
      <c r="A10" s="11" t="s">
        <v>17</v>
      </c>
      <c r="B10" s="1">
        <v>20</v>
      </c>
      <c r="C10" s="1">
        <v>20</v>
      </c>
      <c r="D10" s="3">
        <f t="shared" si="0"/>
        <v>4.0000000000000002E-4</v>
      </c>
      <c r="E10" s="3">
        <v>25</v>
      </c>
      <c r="F10" s="7">
        <f t="shared" si="1"/>
        <v>0.01</v>
      </c>
      <c r="G10" s="7">
        <f t="shared" si="4"/>
        <v>8.0999999999999996E-3</v>
      </c>
      <c r="H10" s="8">
        <f t="shared" si="5"/>
        <v>0.01</v>
      </c>
      <c r="I10" s="4">
        <f t="shared" si="2"/>
        <v>0.01</v>
      </c>
      <c r="J10" s="17">
        <f t="shared" si="3"/>
        <v>1835</v>
      </c>
      <c r="K10" s="18">
        <v>1625</v>
      </c>
      <c r="L10" s="18">
        <v>1115</v>
      </c>
      <c r="M10" s="17">
        <v>805</v>
      </c>
    </row>
    <row r="11" spans="1:17">
      <c r="A11" s="11" t="s">
        <v>18</v>
      </c>
      <c r="B11" s="1">
        <v>20</v>
      </c>
      <c r="C11" s="1">
        <v>20</v>
      </c>
      <c r="D11" s="3">
        <f t="shared" si="0"/>
        <v>4.0000000000000002E-4</v>
      </c>
      <c r="E11" s="3">
        <v>30</v>
      </c>
      <c r="F11" s="7">
        <f t="shared" si="1"/>
        <v>1.2E-2</v>
      </c>
      <c r="G11" s="7">
        <f t="shared" si="4"/>
        <v>1.01E-2</v>
      </c>
      <c r="H11" s="8">
        <f t="shared" si="5"/>
        <v>1.2E-2</v>
      </c>
      <c r="I11" s="4">
        <f t="shared" si="2"/>
        <v>1.2E-2</v>
      </c>
      <c r="J11" s="17">
        <f t="shared" si="3"/>
        <v>1852</v>
      </c>
      <c r="K11" s="18">
        <v>1640</v>
      </c>
      <c r="L11" s="18">
        <v>1128</v>
      </c>
      <c r="M11" s="17">
        <v>816</v>
      </c>
    </row>
    <row r="12" spans="1:17">
      <c r="A12" s="11" t="s">
        <v>19</v>
      </c>
      <c r="B12" s="1">
        <v>20</v>
      </c>
      <c r="C12" s="1">
        <v>20</v>
      </c>
      <c r="D12" s="3">
        <f t="shared" si="0"/>
        <v>4.0000000000000002E-4</v>
      </c>
      <c r="E12" s="3">
        <v>35</v>
      </c>
      <c r="F12" s="7">
        <f t="shared" si="1"/>
        <v>1.4E-2</v>
      </c>
      <c r="G12" s="7">
        <f t="shared" si="4"/>
        <v>1.21E-2</v>
      </c>
      <c r="H12" s="8">
        <f t="shared" si="5"/>
        <v>1.4E-2</v>
      </c>
      <c r="I12" s="4">
        <f t="shared" si="2"/>
        <v>1.4E-2</v>
      </c>
      <c r="J12" s="17">
        <f t="shared" si="3"/>
        <v>1869</v>
      </c>
      <c r="K12" s="18">
        <v>1655</v>
      </c>
      <c r="L12" s="18">
        <v>1141</v>
      </c>
      <c r="M12" s="17">
        <v>827</v>
      </c>
    </row>
    <row r="13" spans="1:17">
      <c r="A13" s="11" t="s">
        <v>20</v>
      </c>
      <c r="B13" s="1">
        <v>20</v>
      </c>
      <c r="C13" s="1">
        <v>20</v>
      </c>
      <c r="D13" s="3">
        <f t="shared" si="0"/>
        <v>4.0000000000000002E-4</v>
      </c>
      <c r="E13" s="3">
        <v>40</v>
      </c>
      <c r="F13" s="7">
        <f t="shared" si="1"/>
        <v>1.6E-2</v>
      </c>
      <c r="G13" s="7">
        <f t="shared" si="4"/>
        <v>1.41E-2</v>
      </c>
      <c r="H13" s="8">
        <f t="shared" si="5"/>
        <v>1.6E-2</v>
      </c>
      <c r="I13" s="4">
        <f t="shared" si="2"/>
        <v>1.6E-2</v>
      </c>
      <c r="J13" s="17">
        <f t="shared" si="3"/>
        <v>1886</v>
      </c>
      <c r="K13" s="18">
        <v>1670</v>
      </c>
      <c r="L13" s="18">
        <v>1154</v>
      </c>
      <c r="M13" s="17">
        <v>838</v>
      </c>
    </row>
    <row r="14" spans="1:17">
      <c r="A14" s="11" t="s">
        <v>21</v>
      </c>
      <c r="B14" s="1">
        <v>20</v>
      </c>
      <c r="C14" s="1">
        <v>20</v>
      </c>
      <c r="D14" s="3">
        <f t="shared" si="0"/>
        <v>4.0000000000000002E-4</v>
      </c>
      <c r="E14" s="3">
        <v>45</v>
      </c>
      <c r="F14" s="7">
        <f t="shared" si="1"/>
        <v>1.8000000000000002E-2</v>
      </c>
      <c r="G14" s="7">
        <f t="shared" si="4"/>
        <v>1.61E-2</v>
      </c>
      <c r="H14" s="8">
        <f t="shared" si="5"/>
        <v>1.8000000000000002E-2</v>
      </c>
      <c r="I14" s="4">
        <f t="shared" si="2"/>
        <v>1.8000000000000002E-2</v>
      </c>
      <c r="J14" s="17">
        <f t="shared" si="3"/>
        <v>1903</v>
      </c>
      <c r="K14" s="18">
        <v>1685</v>
      </c>
      <c r="L14" s="18">
        <v>1167</v>
      </c>
      <c r="M14" s="17">
        <v>849</v>
      </c>
    </row>
    <row r="15" spans="1:17">
      <c r="A15" s="11" t="s">
        <v>22</v>
      </c>
      <c r="B15" s="1">
        <v>20</v>
      </c>
      <c r="C15" s="1">
        <v>20</v>
      </c>
      <c r="D15" s="3">
        <f t="shared" si="0"/>
        <v>4.0000000000000002E-4</v>
      </c>
      <c r="E15" s="3">
        <v>50</v>
      </c>
      <c r="F15" s="7">
        <f t="shared" si="1"/>
        <v>0.02</v>
      </c>
      <c r="G15" s="7">
        <f t="shared" si="4"/>
        <v>1.8100000000000002E-2</v>
      </c>
      <c r="H15" s="8">
        <f t="shared" si="5"/>
        <v>0.02</v>
      </c>
      <c r="I15" s="4">
        <f t="shared" si="2"/>
        <v>0.02</v>
      </c>
      <c r="J15" s="17">
        <f t="shared" si="3"/>
        <v>1920</v>
      </c>
      <c r="K15" s="18">
        <v>1700</v>
      </c>
      <c r="L15" s="18">
        <v>1180</v>
      </c>
      <c r="M15" s="17">
        <v>860</v>
      </c>
    </row>
    <row r="16" spans="1:17">
      <c r="A16" s="11" t="s">
        <v>23</v>
      </c>
      <c r="B16" s="1">
        <v>20</v>
      </c>
      <c r="C16" s="1">
        <v>20</v>
      </c>
      <c r="D16" s="3">
        <f t="shared" si="0"/>
        <v>4.0000000000000002E-4</v>
      </c>
      <c r="E16" s="3">
        <v>55</v>
      </c>
      <c r="F16" s="7">
        <f t="shared" si="1"/>
        <v>2.2000000000000002E-2</v>
      </c>
      <c r="G16" s="7">
        <f t="shared" si="4"/>
        <v>2.01E-2</v>
      </c>
      <c r="H16" s="8">
        <f t="shared" si="5"/>
        <v>2.2000000000000002E-2</v>
      </c>
      <c r="I16" s="4">
        <f t="shared" si="2"/>
        <v>2.2000000000000002E-2</v>
      </c>
      <c r="J16" s="17">
        <f t="shared" si="3"/>
        <v>1937</v>
      </c>
      <c r="K16" s="18">
        <v>1715</v>
      </c>
      <c r="L16" s="18">
        <v>1193</v>
      </c>
      <c r="M16" s="17">
        <v>871</v>
      </c>
    </row>
    <row r="17" spans="1:13">
      <c r="A17" s="11" t="s">
        <v>24</v>
      </c>
      <c r="B17" s="1">
        <v>20</v>
      </c>
      <c r="C17" s="1">
        <v>20</v>
      </c>
      <c r="D17" s="3">
        <f t="shared" si="0"/>
        <v>4.0000000000000002E-4</v>
      </c>
      <c r="E17" s="3">
        <v>60</v>
      </c>
      <c r="F17" s="7">
        <f t="shared" si="1"/>
        <v>2.4E-2</v>
      </c>
      <c r="G17" s="7">
        <f t="shared" si="4"/>
        <v>2.2100000000000002E-2</v>
      </c>
      <c r="H17" s="8">
        <f t="shared" si="5"/>
        <v>2.4E-2</v>
      </c>
      <c r="I17" s="4">
        <f t="shared" si="2"/>
        <v>2.4E-2</v>
      </c>
      <c r="J17" s="17">
        <f t="shared" si="3"/>
        <v>1954</v>
      </c>
      <c r="K17" s="18">
        <v>1730</v>
      </c>
      <c r="L17" s="18">
        <v>1206</v>
      </c>
      <c r="M17" s="17">
        <v>882</v>
      </c>
    </row>
    <row r="18" spans="1:13">
      <c r="A18" s="11" t="s">
        <v>25</v>
      </c>
      <c r="B18" s="1">
        <v>20</v>
      </c>
      <c r="C18" s="1">
        <v>20</v>
      </c>
      <c r="D18" s="3">
        <f t="shared" si="0"/>
        <v>4.0000000000000002E-4</v>
      </c>
      <c r="E18" s="3">
        <v>65</v>
      </c>
      <c r="F18" s="7">
        <f t="shared" si="1"/>
        <v>2.6000000000000002E-2</v>
      </c>
      <c r="G18" s="7">
        <f t="shared" si="4"/>
        <v>2.41E-2</v>
      </c>
      <c r="H18" s="8">
        <f t="shared" si="5"/>
        <v>2.6000000000000002E-2</v>
      </c>
      <c r="I18" s="4">
        <f t="shared" si="2"/>
        <v>2.6000000000000002E-2</v>
      </c>
      <c r="J18" s="17">
        <f t="shared" si="3"/>
        <v>1971</v>
      </c>
      <c r="K18" s="18">
        <v>1745</v>
      </c>
      <c r="L18" s="18">
        <v>1219</v>
      </c>
      <c r="M18" s="17">
        <v>893</v>
      </c>
    </row>
    <row r="19" spans="1:13">
      <c r="A19" s="11" t="s">
        <v>26</v>
      </c>
      <c r="B19" s="1">
        <v>20</v>
      </c>
      <c r="C19" s="1">
        <v>20</v>
      </c>
      <c r="D19" s="3">
        <f t="shared" si="0"/>
        <v>4.0000000000000002E-4</v>
      </c>
      <c r="E19" s="3">
        <v>70</v>
      </c>
      <c r="F19" s="7">
        <f t="shared" si="1"/>
        <v>2.8000000000000001E-2</v>
      </c>
      <c r="G19" s="7">
        <f t="shared" si="4"/>
        <v>2.6100000000000002E-2</v>
      </c>
      <c r="H19" s="8">
        <f t="shared" si="5"/>
        <v>2.8000000000000001E-2</v>
      </c>
      <c r="I19" s="4">
        <f t="shared" si="2"/>
        <v>2.8000000000000001E-2</v>
      </c>
      <c r="J19" s="17">
        <f t="shared" si="3"/>
        <v>1988</v>
      </c>
      <c r="K19" s="18">
        <v>1760</v>
      </c>
      <c r="L19" s="18">
        <v>1232</v>
      </c>
      <c r="M19" s="17">
        <v>904</v>
      </c>
    </row>
    <row r="20" spans="1:13">
      <c r="A20" s="11" t="s">
        <v>27</v>
      </c>
      <c r="B20" s="1">
        <v>20</v>
      </c>
      <c r="C20" s="1">
        <v>20</v>
      </c>
      <c r="D20" s="3">
        <f t="shared" si="0"/>
        <v>4.0000000000000002E-4</v>
      </c>
      <c r="E20" s="3">
        <v>75</v>
      </c>
      <c r="F20" s="7">
        <f t="shared" si="1"/>
        <v>3.0000000000000002E-2</v>
      </c>
      <c r="G20" s="7">
        <f t="shared" si="4"/>
        <v>2.81E-2</v>
      </c>
      <c r="H20" s="8">
        <f t="shared" si="5"/>
        <v>3.0000000000000002E-2</v>
      </c>
      <c r="I20" s="4">
        <f t="shared" si="2"/>
        <v>3.0000000000000002E-2</v>
      </c>
      <c r="J20" s="17">
        <f t="shared" si="3"/>
        <v>2005</v>
      </c>
      <c r="K20" s="18">
        <v>1775</v>
      </c>
      <c r="L20" s="18">
        <v>1245</v>
      </c>
      <c r="M20" s="17">
        <v>915</v>
      </c>
    </row>
    <row r="21" spans="1:13">
      <c r="A21" s="11" t="s">
        <v>28</v>
      </c>
      <c r="B21" s="1">
        <v>20</v>
      </c>
      <c r="C21" s="1">
        <v>20</v>
      </c>
      <c r="D21" s="3">
        <f t="shared" si="0"/>
        <v>4.0000000000000002E-4</v>
      </c>
      <c r="E21" s="3">
        <v>80</v>
      </c>
      <c r="F21" s="7">
        <f t="shared" si="1"/>
        <v>3.2000000000000001E-2</v>
      </c>
      <c r="G21" s="7">
        <f t="shared" si="4"/>
        <v>3.0100000000000002E-2</v>
      </c>
      <c r="H21" s="8">
        <f t="shared" si="5"/>
        <v>3.2000000000000001E-2</v>
      </c>
      <c r="I21" s="4">
        <f t="shared" si="2"/>
        <v>3.2000000000000001E-2</v>
      </c>
      <c r="J21" s="17">
        <f t="shared" si="3"/>
        <v>2022</v>
      </c>
      <c r="K21" s="18">
        <v>1790</v>
      </c>
      <c r="L21" s="18">
        <v>1258</v>
      </c>
      <c r="M21" s="17">
        <v>926</v>
      </c>
    </row>
    <row r="22" spans="1:13">
      <c r="A22" s="11" t="s">
        <v>29</v>
      </c>
      <c r="B22" s="1">
        <v>20</v>
      </c>
      <c r="C22" s="1">
        <v>20</v>
      </c>
      <c r="D22" s="3">
        <f t="shared" si="0"/>
        <v>4.0000000000000002E-4</v>
      </c>
      <c r="E22" s="3">
        <v>85</v>
      </c>
      <c r="F22" s="7">
        <f t="shared" si="1"/>
        <v>3.4000000000000002E-2</v>
      </c>
      <c r="G22" s="7">
        <f t="shared" si="4"/>
        <v>3.2100000000000004E-2</v>
      </c>
      <c r="H22" s="8">
        <f t="shared" si="5"/>
        <v>3.4000000000000002E-2</v>
      </c>
      <c r="I22" s="4">
        <f t="shared" si="2"/>
        <v>3.4000000000000002E-2</v>
      </c>
      <c r="J22" s="17">
        <f t="shared" si="3"/>
        <v>2039</v>
      </c>
      <c r="K22" s="18">
        <v>1805</v>
      </c>
      <c r="L22" s="18">
        <v>1271</v>
      </c>
      <c r="M22" s="17">
        <v>937</v>
      </c>
    </row>
    <row r="23" spans="1:13">
      <c r="A23" s="11" t="s">
        <v>30</v>
      </c>
      <c r="B23" s="1">
        <v>20</v>
      </c>
      <c r="C23" s="1">
        <v>20</v>
      </c>
      <c r="D23" s="3">
        <f t="shared" si="0"/>
        <v>4.0000000000000002E-4</v>
      </c>
      <c r="E23" s="3">
        <v>90</v>
      </c>
      <c r="F23" s="7">
        <f t="shared" si="1"/>
        <v>3.6000000000000004E-2</v>
      </c>
      <c r="G23" s="7">
        <f t="shared" si="4"/>
        <v>3.4100000000000005E-2</v>
      </c>
      <c r="H23" s="8">
        <f t="shared" si="5"/>
        <v>3.6000000000000004E-2</v>
      </c>
      <c r="I23" s="4">
        <f t="shared" si="2"/>
        <v>3.6000000000000004E-2</v>
      </c>
      <c r="J23" s="17">
        <f t="shared" si="3"/>
        <v>2056</v>
      </c>
      <c r="K23" s="18">
        <v>1820</v>
      </c>
      <c r="L23" s="18">
        <v>1284</v>
      </c>
      <c r="M23" s="17">
        <v>948</v>
      </c>
    </row>
    <row r="24" spans="1:13">
      <c r="A24" s="11" t="s">
        <v>31</v>
      </c>
      <c r="B24" s="1">
        <v>20</v>
      </c>
      <c r="C24" s="1">
        <v>20</v>
      </c>
      <c r="D24" s="3">
        <f t="shared" si="0"/>
        <v>4.0000000000000002E-4</v>
      </c>
      <c r="E24" s="3">
        <v>95</v>
      </c>
      <c r="F24" s="7">
        <f t="shared" si="1"/>
        <v>3.7999999999999999E-2</v>
      </c>
      <c r="G24" s="7">
        <f t="shared" si="4"/>
        <v>3.6100000000000007E-2</v>
      </c>
      <c r="H24" s="8">
        <f t="shared" si="5"/>
        <v>3.7999999999999999E-2</v>
      </c>
      <c r="I24" s="4">
        <f t="shared" si="2"/>
        <v>3.7999999999999999E-2</v>
      </c>
      <c r="J24" s="17">
        <f t="shared" si="3"/>
        <v>2073</v>
      </c>
      <c r="K24" s="18">
        <v>1835</v>
      </c>
      <c r="L24" s="18">
        <v>1297</v>
      </c>
      <c r="M24" s="17">
        <v>959</v>
      </c>
    </row>
    <row r="25" spans="1:13">
      <c r="A25" s="11" t="s">
        <v>32</v>
      </c>
      <c r="B25" s="1">
        <v>20</v>
      </c>
      <c r="C25" s="1">
        <v>20</v>
      </c>
      <c r="D25" s="3">
        <f t="shared" si="0"/>
        <v>4.0000000000000002E-4</v>
      </c>
      <c r="E25" s="3">
        <v>100</v>
      </c>
      <c r="F25" s="7">
        <f t="shared" si="1"/>
        <v>0.04</v>
      </c>
      <c r="G25" s="7">
        <f t="shared" si="4"/>
        <v>3.8100000000000002E-2</v>
      </c>
      <c r="H25" s="8">
        <f t="shared" si="5"/>
        <v>0.04</v>
      </c>
      <c r="I25" s="4">
        <f t="shared" si="2"/>
        <v>0.04</v>
      </c>
      <c r="J25" s="17">
        <f t="shared" si="3"/>
        <v>2090</v>
      </c>
      <c r="K25" s="18">
        <v>1850</v>
      </c>
      <c r="L25" s="18">
        <v>1310</v>
      </c>
      <c r="M25" s="17">
        <v>970</v>
      </c>
    </row>
    <row r="26" spans="1:13">
      <c r="A26" s="11" t="s">
        <v>33</v>
      </c>
      <c r="B26" s="1">
        <v>20</v>
      </c>
      <c r="C26" s="1">
        <v>20</v>
      </c>
      <c r="D26" s="3">
        <f t="shared" si="0"/>
        <v>4.0000000000000002E-4</v>
      </c>
      <c r="E26" s="3">
        <v>105</v>
      </c>
      <c r="F26" s="7">
        <f t="shared" si="1"/>
        <v>4.2000000000000003E-2</v>
      </c>
      <c r="G26" s="7">
        <f t="shared" si="4"/>
        <v>4.0100000000000004E-2</v>
      </c>
      <c r="H26" s="8">
        <f t="shared" si="5"/>
        <v>4.2000000000000003E-2</v>
      </c>
      <c r="I26" s="4">
        <f t="shared" si="2"/>
        <v>4.2000000000000003E-2</v>
      </c>
      <c r="J26" s="17">
        <f t="shared" si="3"/>
        <v>2107</v>
      </c>
      <c r="K26" s="18">
        <v>1865</v>
      </c>
      <c r="L26" s="18">
        <v>1323</v>
      </c>
      <c r="M26" s="17">
        <v>981</v>
      </c>
    </row>
    <row r="27" spans="1:13">
      <c r="A27" s="11" t="s">
        <v>34</v>
      </c>
      <c r="B27" s="1">
        <v>20</v>
      </c>
      <c r="C27" s="1">
        <v>20</v>
      </c>
      <c r="D27" s="3">
        <f t="shared" si="0"/>
        <v>4.0000000000000002E-4</v>
      </c>
      <c r="E27" s="3">
        <v>110</v>
      </c>
      <c r="F27" s="7">
        <f t="shared" si="1"/>
        <v>4.4000000000000004E-2</v>
      </c>
      <c r="G27" s="7">
        <f t="shared" si="4"/>
        <v>4.2100000000000005E-2</v>
      </c>
      <c r="H27" s="8">
        <f t="shared" si="5"/>
        <v>4.4000000000000004E-2</v>
      </c>
      <c r="I27" s="4">
        <f t="shared" si="2"/>
        <v>4.4000000000000004E-2</v>
      </c>
      <c r="J27" s="17">
        <f t="shared" si="3"/>
        <v>2124</v>
      </c>
      <c r="K27" s="18">
        <v>1880</v>
      </c>
      <c r="L27" s="18">
        <v>1336</v>
      </c>
      <c r="M27" s="17">
        <v>992</v>
      </c>
    </row>
    <row r="28" spans="1:13">
      <c r="A28" s="11" t="s">
        <v>35</v>
      </c>
      <c r="B28" s="1">
        <v>20</v>
      </c>
      <c r="C28" s="1">
        <v>20</v>
      </c>
      <c r="D28" s="3">
        <f t="shared" si="0"/>
        <v>4.0000000000000002E-4</v>
      </c>
      <c r="E28" s="3">
        <v>115</v>
      </c>
      <c r="F28" s="7">
        <f t="shared" si="1"/>
        <v>4.5999999999999999E-2</v>
      </c>
      <c r="G28" s="7">
        <f t="shared" si="4"/>
        <v>4.4100000000000007E-2</v>
      </c>
      <c r="H28" s="8">
        <f t="shared" si="5"/>
        <v>4.5999999999999999E-2</v>
      </c>
      <c r="I28" s="4">
        <f t="shared" si="2"/>
        <v>4.5999999999999999E-2</v>
      </c>
      <c r="J28" s="17">
        <f t="shared" si="3"/>
        <v>2141</v>
      </c>
      <c r="K28" s="18">
        <v>1895</v>
      </c>
      <c r="L28" s="18">
        <v>1349</v>
      </c>
      <c r="M28" s="17">
        <v>1003</v>
      </c>
    </row>
    <row r="29" spans="1:13">
      <c r="A29" s="11" t="s">
        <v>36</v>
      </c>
      <c r="B29" s="1">
        <v>20</v>
      </c>
      <c r="C29" s="1">
        <v>20</v>
      </c>
      <c r="D29" s="3">
        <f t="shared" si="0"/>
        <v>4.0000000000000002E-4</v>
      </c>
      <c r="E29" s="3">
        <v>120</v>
      </c>
      <c r="F29" s="7">
        <f t="shared" si="1"/>
        <v>4.8000000000000001E-2</v>
      </c>
      <c r="G29" s="7">
        <f t="shared" si="4"/>
        <v>4.6100000000000002E-2</v>
      </c>
      <c r="H29" s="8">
        <f t="shared" si="5"/>
        <v>4.8000000000000001E-2</v>
      </c>
      <c r="I29" s="4">
        <f t="shared" si="2"/>
        <v>4.8000000000000001E-2</v>
      </c>
      <c r="J29" s="17">
        <f t="shared" si="3"/>
        <v>2158</v>
      </c>
      <c r="K29" s="18">
        <v>1910</v>
      </c>
      <c r="L29" s="18">
        <v>1362</v>
      </c>
      <c r="M29" s="17">
        <v>1014</v>
      </c>
    </row>
    <row r="30" spans="1:13">
      <c r="A30" s="11" t="s">
        <v>37</v>
      </c>
      <c r="B30" s="1">
        <v>20</v>
      </c>
      <c r="C30" s="1">
        <v>20</v>
      </c>
      <c r="D30" s="3">
        <f t="shared" si="0"/>
        <v>4.0000000000000002E-4</v>
      </c>
      <c r="E30" s="3">
        <v>125</v>
      </c>
      <c r="F30" s="7">
        <f t="shared" si="1"/>
        <v>0.05</v>
      </c>
      <c r="G30" s="7">
        <f t="shared" si="4"/>
        <v>4.8100000000000004E-2</v>
      </c>
      <c r="H30" s="8">
        <f t="shared" si="5"/>
        <v>0.05</v>
      </c>
      <c r="I30" s="4">
        <f t="shared" si="2"/>
        <v>0.05</v>
      </c>
      <c r="J30" s="17">
        <f t="shared" si="3"/>
        <v>2175</v>
      </c>
      <c r="K30" s="18">
        <v>1925</v>
      </c>
      <c r="L30" s="18">
        <v>1375</v>
      </c>
      <c r="M30" s="17">
        <v>1025</v>
      </c>
    </row>
    <row r="31" spans="1:13">
      <c r="A31" s="11" t="s">
        <v>38</v>
      </c>
      <c r="B31" s="1">
        <v>20</v>
      </c>
      <c r="C31" s="1">
        <v>20</v>
      </c>
      <c r="D31" s="3">
        <f t="shared" si="0"/>
        <v>4.0000000000000002E-4</v>
      </c>
      <c r="E31" s="3">
        <v>130</v>
      </c>
      <c r="F31" s="7">
        <f t="shared" si="1"/>
        <v>5.2000000000000005E-2</v>
      </c>
      <c r="G31" s="7">
        <f t="shared" si="4"/>
        <v>5.0100000000000006E-2</v>
      </c>
      <c r="H31" s="8">
        <f t="shared" si="5"/>
        <v>5.2000000000000005E-2</v>
      </c>
      <c r="I31" s="4">
        <f t="shared" si="2"/>
        <v>5.2000000000000005E-2</v>
      </c>
      <c r="J31" s="17">
        <f t="shared" si="3"/>
        <v>2192</v>
      </c>
      <c r="K31" s="18">
        <v>1940</v>
      </c>
      <c r="L31" s="18">
        <v>1388</v>
      </c>
      <c r="M31" s="17">
        <v>1036</v>
      </c>
    </row>
    <row r="32" spans="1:13">
      <c r="A32" s="11" t="s">
        <v>39</v>
      </c>
      <c r="B32" s="1">
        <v>20</v>
      </c>
      <c r="C32" s="1">
        <v>20</v>
      </c>
      <c r="D32" s="3">
        <f t="shared" si="0"/>
        <v>4.0000000000000002E-4</v>
      </c>
      <c r="E32" s="3">
        <v>135</v>
      </c>
      <c r="F32" s="7">
        <f t="shared" si="1"/>
        <v>5.3999999999999999E-2</v>
      </c>
      <c r="G32" s="7">
        <f t="shared" si="4"/>
        <v>5.2100000000000007E-2</v>
      </c>
      <c r="H32" s="8">
        <f t="shared" si="5"/>
        <v>5.3999999999999999E-2</v>
      </c>
      <c r="I32" s="4">
        <f t="shared" si="2"/>
        <v>5.3999999999999999E-2</v>
      </c>
      <c r="J32" s="17">
        <f t="shared" si="3"/>
        <v>2209</v>
      </c>
      <c r="K32" s="18">
        <v>1955</v>
      </c>
      <c r="L32" s="18">
        <v>1401</v>
      </c>
      <c r="M32" s="17">
        <v>1047</v>
      </c>
    </row>
    <row r="33" spans="1:13">
      <c r="A33" s="11" t="s">
        <v>40</v>
      </c>
      <c r="B33" s="1">
        <v>20</v>
      </c>
      <c r="C33" s="1">
        <v>20</v>
      </c>
      <c r="D33" s="3">
        <f t="shared" si="0"/>
        <v>4.0000000000000002E-4</v>
      </c>
      <c r="E33" s="3">
        <v>140</v>
      </c>
      <c r="F33" s="7">
        <f t="shared" si="1"/>
        <v>5.6000000000000001E-2</v>
      </c>
      <c r="G33" s="7">
        <f t="shared" si="4"/>
        <v>5.4100000000000002E-2</v>
      </c>
      <c r="H33" s="8">
        <f t="shared" si="5"/>
        <v>5.6000000000000001E-2</v>
      </c>
      <c r="I33" s="4">
        <f t="shared" si="2"/>
        <v>5.6000000000000001E-2</v>
      </c>
      <c r="J33" s="17">
        <f t="shared" si="3"/>
        <v>2226</v>
      </c>
      <c r="K33" s="18">
        <v>1970</v>
      </c>
      <c r="L33" s="18">
        <v>1414</v>
      </c>
      <c r="M33" s="17">
        <v>1058</v>
      </c>
    </row>
    <row r="34" spans="1:13">
      <c r="A34" s="11" t="s">
        <v>41</v>
      </c>
      <c r="B34" s="1">
        <v>20</v>
      </c>
      <c r="C34" s="1">
        <v>20</v>
      </c>
      <c r="D34" s="3">
        <f t="shared" si="0"/>
        <v>4.0000000000000002E-4</v>
      </c>
      <c r="E34" s="3">
        <v>145</v>
      </c>
      <c r="F34" s="7">
        <f t="shared" si="1"/>
        <v>5.8000000000000003E-2</v>
      </c>
      <c r="G34" s="7">
        <f t="shared" si="4"/>
        <v>5.6100000000000004E-2</v>
      </c>
      <c r="H34" s="8">
        <f t="shared" si="5"/>
        <v>5.8000000000000003E-2</v>
      </c>
      <c r="I34" s="4">
        <f t="shared" si="2"/>
        <v>5.8000000000000003E-2</v>
      </c>
      <c r="J34" s="17">
        <f t="shared" si="3"/>
        <v>2243</v>
      </c>
      <c r="K34" s="18">
        <v>1985</v>
      </c>
      <c r="L34" s="18">
        <v>1427</v>
      </c>
      <c r="M34" s="17">
        <v>1069</v>
      </c>
    </row>
    <row r="35" spans="1:13">
      <c r="A35" s="11" t="s">
        <v>42</v>
      </c>
      <c r="B35" s="1">
        <v>20</v>
      </c>
      <c r="C35" s="1">
        <v>20</v>
      </c>
      <c r="D35" s="3">
        <f t="shared" si="0"/>
        <v>4.0000000000000002E-4</v>
      </c>
      <c r="E35" s="3">
        <v>150</v>
      </c>
      <c r="F35" s="7">
        <f t="shared" si="1"/>
        <v>6.0000000000000005E-2</v>
      </c>
      <c r="G35" s="7">
        <f t="shared" si="4"/>
        <v>5.8100000000000006E-2</v>
      </c>
      <c r="H35" s="8">
        <f t="shared" si="5"/>
        <v>6.0000000000000005E-2</v>
      </c>
      <c r="I35" s="4">
        <f t="shared" si="2"/>
        <v>6.0000000000000005E-2</v>
      </c>
      <c r="J35" s="17">
        <f t="shared" si="3"/>
        <v>2260</v>
      </c>
      <c r="K35" s="18">
        <v>2000</v>
      </c>
      <c r="L35" s="18">
        <v>1440</v>
      </c>
      <c r="M35" s="17">
        <v>1080</v>
      </c>
    </row>
    <row r="36" spans="1:13">
      <c r="A36" s="11" t="s">
        <v>43</v>
      </c>
      <c r="B36" s="1">
        <v>20</v>
      </c>
      <c r="C36" s="1">
        <v>20</v>
      </c>
      <c r="D36" s="3">
        <f t="shared" si="0"/>
        <v>4.0000000000000002E-4</v>
      </c>
      <c r="E36" s="3">
        <v>155</v>
      </c>
      <c r="F36" s="7">
        <f t="shared" si="1"/>
        <v>6.2E-2</v>
      </c>
      <c r="G36" s="7">
        <f t="shared" si="4"/>
        <v>6.0100000000000008E-2</v>
      </c>
      <c r="H36" s="8">
        <f t="shared" si="5"/>
        <v>6.2E-2</v>
      </c>
      <c r="I36" s="4">
        <f t="shared" si="2"/>
        <v>6.2E-2</v>
      </c>
      <c r="J36" s="17">
        <f t="shared" si="3"/>
        <v>2277</v>
      </c>
      <c r="K36" s="18">
        <v>2015</v>
      </c>
      <c r="L36" s="18">
        <v>1453</v>
      </c>
      <c r="M36" s="17">
        <v>1091</v>
      </c>
    </row>
    <row r="37" spans="1:13">
      <c r="A37" s="11" t="s">
        <v>44</v>
      </c>
      <c r="B37" s="1">
        <v>20</v>
      </c>
      <c r="C37" s="1">
        <v>20</v>
      </c>
      <c r="D37" s="3">
        <f t="shared" si="0"/>
        <v>4.0000000000000002E-4</v>
      </c>
      <c r="E37" s="3">
        <v>160</v>
      </c>
      <c r="F37" s="7">
        <f t="shared" si="1"/>
        <v>6.4000000000000001E-2</v>
      </c>
      <c r="G37" s="7">
        <f t="shared" si="4"/>
        <v>6.2100000000000002E-2</v>
      </c>
      <c r="H37" s="8">
        <f t="shared" si="5"/>
        <v>6.4000000000000001E-2</v>
      </c>
      <c r="I37" s="4">
        <f t="shared" si="2"/>
        <v>6.4000000000000001E-2</v>
      </c>
      <c r="J37" s="17">
        <f t="shared" si="3"/>
        <v>2294</v>
      </c>
      <c r="K37" s="18">
        <v>2030</v>
      </c>
      <c r="L37" s="18">
        <v>1466</v>
      </c>
      <c r="M37" s="17">
        <v>1102</v>
      </c>
    </row>
    <row r="38" spans="1:13">
      <c r="A38" s="11" t="s">
        <v>45</v>
      </c>
      <c r="B38" s="1">
        <v>20</v>
      </c>
      <c r="C38" s="1">
        <v>20</v>
      </c>
      <c r="D38" s="3">
        <f t="shared" si="0"/>
        <v>4.0000000000000002E-4</v>
      </c>
      <c r="E38" s="3">
        <v>165</v>
      </c>
      <c r="F38" s="7">
        <f t="shared" si="1"/>
        <v>6.6000000000000003E-2</v>
      </c>
      <c r="G38" s="7">
        <f t="shared" si="4"/>
        <v>6.4100000000000004E-2</v>
      </c>
      <c r="H38" s="8">
        <f t="shared" si="5"/>
        <v>6.6000000000000003E-2</v>
      </c>
      <c r="I38" s="4">
        <f t="shared" si="2"/>
        <v>6.6000000000000003E-2</v>
      </c>
      <c r="J38" s="17">
        <f t="shared" si="3"/>
        <v>2311</v>
      </c>
      <c r="K38" s="18">
        <v>2045</v>
      </c>
      <c r="L38" s="18">
        <v>1479</v>
      </c>
      <c r="M38" s="17">
        <v>1113</v>
      </c>
    </row>
    <row r="39" spans="1:13">
      <c r="A39" s="11" t="s">
        <v>46</v>
      </c>
      <c r="B39" s="1">
        <v>20</v>
      </c>
      <c r="C39" s="1">
        <v>20</v>
      </c>
      <c r="D39" s="3">
        <f t="shared" si="0"/>
        <v>4.0000000000000002E-4</v>
      </c>
      <c r="E39" s="3">
        <v>170</v>
      </c>
      <c r="F39" s="7">
        <f t="shared" si="1"/>
        <v>6.8000000000000005E-2</v>
      </c>
      <c r="G39" s="7">
        <f t="shared" si="4"/>
        <v>6.6100000000000006E-2</v>
      </c>
      <c r="H39" s="8">
        <f t="shared" si="5"/>
        <v>6.8000000000000005E-2</v>
      </c>
      <c r="I39" s="4">
        <f t="shared" si="2"/>
        <v>6.8000000000000005E-2</v>
      </c>
      <c r="J39" s="17">
        <f t="shared" si="3"/>
        <v>2328</v>
      </c>
      <c r="K39" s="18">
        <v>2060</v>
      </c>
      <c r="L39" s="18">
        <v>1492</v>
      </c>
      <c r="M39" s="17">
        <v>1124</v>
      </c>
    </row>
    <row r="40" spans="1:13">
      <c r="A40" s="11" t="s">
        <v>47</v>
      </c>
      <c r="B40" s="1">
        <v>20</v>
      </c>
      <c r="C40" s="1">
        <v>20</v>
      </c>
      <c r="D40" s="3">
        <f t="shared" si="0"/>
        <v>4.0000000000000002E-4</v>
      </c>
      <c r="E40" s="3">
        <v>175</v>
      </c>
      <c r="F40" s="7">
        <f t="shared" si="1"/>
        <v>7.0000000000000007E-2</v>
      </c>
      <c r="G40" s="7">
        <f t="shared" ref="G40:G71" si="6">H39+0.0001</f>
        <v>6.8100000000000008E-2</v>
      </c>
      <c r="H40" s="8">
        <f t="shared" ref="H40:H71" si="7">I40</f>
        <v>7.0000000000000007E-2</v>
      </c>
      <c r="I40" s="4">
        <f t="shared" si="2"/>
        <v>7.0000000000000007E-2</v>
      </c>
      <c r="J40" s="17">
        <f t="shared" si="3"/>
        <v>2345</v>
      </c>
      <c r="K40" s="18">
        <v>2075</v>
      </c>
      <c r="L40" s="18">
        <v>1505</v>
      </c>
      <c r="M40" s="17">
        <v>1135</v>
      </c>
    </row>
    <row r="41" spans="1:13">
      <c r="A41" s="11" t="s">
        <v>48</v>
      </c>
      <c r="B41" s="1">
        <v>20</v>
      </c>
      <c r="C41" s="1">
        <v>20</v>
      </c>
      <c r="D41" s="3">
        <f t="shared" si="0"/>
        <v>4.0000000000000002E-4</v>
      </c>
      <c r="E41" s="3">
        <v>180</v>
      </c>
      <c r="F41" s="7">
        <f t="shared" si="1"/>
        <v>7.2000000000000008E-2</v>
      </c>
      <c r="G41" s="7">
        <f t="shared" si="6"/>
        <v>7.010000000000001E-2</v>
      </c>
      <c r="H41" s="8">
        <f t="shared" si="7"/>
        <v>7.2000000000000008E-2</v>
      </c>
      <c r="I41" s="4">
        <f t="shared" si="2"/>
        <v>7.2000000000000008E-2</v>
      </c>
      <c r="J41" s="17">
        <f t="shared" si="3"/>
        <v>2362</v>
      </c>
      <c r="K41" s="18">
        <v>2090</v>
      </c>
      <c r="L41" s="18">
        <v>1518</v>
      </c>
      <c r="M41" s="17">
        <v>1146</v>
      </c>
    </row>
    <row r="42" spans="1:13">
      <c r="A42" s="11" t="s">
        <v>49</v>
      </c>
      <c r="B42" s="1">
        <v>20</v>
      </c>
      <c r="C42" s="1">
        <v>20</v>
      </c>
      <c r="D42" s="3">
        <f t="shared" si="0"/>
        <v>4.0000000000000002E-4</v>
      </c>
      <c r="E42" s="3">
        <v>185</v>
      </c>
      <c r="F42" s="7">
        <f t="shared" si="1"/>
        <v>7.400000000000001E-2</v>
      </c>
      <c r="G42" s="7">
        <f t="shared" si="6"/>
        <v>7.2100000000000011E-2</v>
      </c>
      <c r="H42" s="8">
        <f t="shared" si="7"/>
        <v>7.400000000000001E-2</v>
      </c>
      <c r="I42" s="4">
        <f t="shared" si="2"/>
        <v>7.400000000000001E-2</v>
      </c>
      <c r="J42" s="17">
        <f t="shared" si="3"/>
        <v>2379</v>
      </c>
      <c r="K42" s="18">
        <v>2105</v>
      </c>
      <c r="L42" s="18">
        <v>1531</v>
      </c>
      <c r="M42" s="17">
        <v>1157</v>
      </c>
    </row>
    <row r="43" spans="1:13">
      <c r="A43" s="11" t="s">
        <v>50</v>
      </c>
      <c r="B43" s="1">
        <v>20</v>
      </c>
      <c r="C43" s="1">
        <v>20</v>
      </c>
      <c r="D43" s="3">
        <f t="shared" si="0"/>
        <v>4.0000000000000002E-4</v>
      </c>
      <c r="E43" s="3">
        <v>190</v>
      </c>
      <c r="F43" s="7">
        <f t="shared" si="1"/>
        <v>7.5999999999999998E-2</v>
      </c>
      <c r="G43" s="7">
        <f t="shared" si="6"/>
        <v>7.4100000000000013E-2</v>
      </c>
      <c r="H43" s="8">
        <f t="shared" si="7"/>
        <v>7.5999999999999998E-2</v>
      </c>
      <c r="I43" s="4">
        <f t="shared" si="2"/>
        <v>7.5999999999999998E-2</v>
      </c>
      <c r="J43" s="17">
        <f t="shared" si="3"/>
        <v>2396</v>
      </c>
      <c r="K43" s="18">
        <v>2120</v>
      </c>
      <c r="L43" s="18">
        <v>1544</v>
      </c>
      <c r="M43" s="17">
        <v>1168</v>
      </c>
    </row>
    <row r="44" spans="1:13">
      <c r="A44" s="11" t="s">
        <v>51</v>
      </c>
      <c r="B44" s="1">
        <v>20</v>
      </c>
      <c r="C44" s="1">
        <v>20</v>
      </c>
      <c r="D44" s="3">
        <f t="shared" si="0"/>
        <v>4.0000000000000002E-4</v>
      </c>
      <c r="E44" s="3">
        <v>195</v>
      </c>
      <c r="F44" s="7">
        <f t="shared" si="1"/>
        <v>7.8E-2</v>
      </c>
      <c r="G44" s="7">
        <f t="shared" si="6"/>
        <v>7.6100000000000001E-2</v>
      </c>
      <c r="H44" s="8">
        <f t="shared" si="7"/>
        <v>7.8E-2</v>
      </c>
      <c r="I44" s="4">
        <f t="shared" si="2"/>
        <v>7.8E-2</v>
      </c>
      <c r="J44" s="17">
        <f t="shared" si="3"/>
        <v>2413</v>
      </c>
      <c r="K44" s="18">
        <v>2135</v>
      </c>
      <c r="L44" s="18">
        <v>1557</v>
      </c>
      <c r="M44" s="17">
        <v>1179</v>
      </c>
    </row>
    <row r="45" spans="1:13">
      <c r="A45" s="11" t="s">
        <v>52</v>
      </c>
      <c r="B45" s="1">
        <v>20</v>
      </c>
      <c r="C45" s="1">
        <v>20</v>
      </c>
      <c r="D45" s="3">
        <f t="shared" si="0"/>
        <v>4.0000000000000002E-4</v>
      </c>
      <c r="E45" s="3">
        <v>200</v>
      </c>
      <c r="F45" s="7">
        <f t="shared" si="1"/>
        <v>0.08</v>
      </c>
      <c r="G45" s="7">
        <f t="shared" si="6"/>
        <v>7.8100000000000003E-2</v>
      </c>
      <c r="H45" s="8">
        <f t="shared" si="7"/>
        <v>0.08</v>
      </c>
      <c r="I45" s="4">
        <f t="shared" si="2"/>
        <v>0.08</v>
      </c>
      <c r="J45" s="17">
        <f t="shared" si="3"/>
        <v>2430</v>
      </c>
      <c r="K45" s="18">
        <v>2150</v>
      </c>
      <c r="L45" s="18">
        <v>1570</v>
      </c>
      <c r="M45" s="17">
        <v>1190</v>
      </c>
    </row>
    <row r="46" spans="1:13">
      <c r="A46" s="11" t="s">
        <v>53</v>
      </c>
      <c r="B46" s="1">
        <v>20</v>
      </c>
      <c r="C46" s="1">
        <v>20</v>
      </c>
      <c r="D46" s="3">
        <f t="shared" si="0"/>
        <v>4.0000000000000002E-4</v>
      </c>
      <c r="E46" s="3">
        <v>205</v>
      </c>
      <c r="F46" s="7">
        <f t="shared" si="1"/>
        <v>8.2000000000000003E-2</v>
      </c>
      <c r="G46" s="7">
        <f t="shared" si="6"/>
        <v>8.0100000000000005E-2</v>
      </c>
      <c r="H46" s="8">
        <f t="shared" si="7"/>
        <v>8.2000000000000003E-2</v>
      </c>
      <c r="I46" s="4">
        <f t="shared" si="2"/>
        <v>8.2000000000000003E-2</v>
      </c>
      <c r="J46" s="17">
        <f t="shared" si="3"/>
        <v>2447</v>
      </c>
      <c r="K46" s="18">
        <v>2165</v>
      </c>
      <c r="L46" s="18">
        <v>1583</v>
      </c>
      <c r="M46" s="17">
        <v>1201</v>
      </c>
    </row>
    <row r="47" spans="1:13">
      <c r="A47" s="11" t="s">
        <v>54</v>
      </c>
      <c r="B47" s="1">
        <v>20</v>
      </c>
      <c r="C47" s="1">
        <v>20</v>
      </c>
      <c r="D47" s="3">
        <f t="shared" si="0"/>
        <v>4.0000000000000002E-4</v>
      </c>
      <c r="E47" s="3">
        <v>210</v>
      </c>
      <c r="F47" s="7">
        <f t="shared" si="1"/>
        <v>8.4000000000000005E-2</v>
      </c>
      <c r="G47" s="7">
        <f t="shared" si="6"/>
        <v>8.2100000000000006E-2</v>
      </c>
      <c r="H47" s="8">
        <f t="shared" si="7"/>
        <v>8.4000000000000005E-2</v>
      </c>
      <c r="I47" s="4">
        <f t="shared" si="2"/>
        <v>8.4000000000000005E-2</v>
      </c>
      <c r="J47" s="17">
        <f t="shared" si="3"/>
        <v>2464</v>
      </c>
      <c r="K47" s="18">
        <v>2180</v>
      </c>
      <c r="L47" s="18">
        <v>1596</v>
      </c>
      <c r="M47" s="17">
        <v>1212</v>
      </c>
    </row>
    <row r="48" spans="1:13">
      <c r="A48" s="11" t="s">
        <v>55</v>
      </c>
      <c r="B48" s="1">
        <v>20</v>
      </c>
      <c r="C48" s="1">
        <v>20</v>
      </c>
      <c r="D48" s="3">
        <f t="shared" si="0"/>
        <v>4.0000000000000002E-4</v>
      </c>
      <c r="E48" s="3">
        <v>215</v>
      </c>
      <c r="F48" s="7">
        <f t="shared" si="1"/>
        <v>8.6000000000000007E-2</v>
      </c>
      <c r="G48" s="7">
        <f t="shared" si="6"/>
        <v>8.4100000000000008E-2</v>
      </c>
      <c r="H48" s="8">
        <f t="shared" si="7"/>
        <v>8.6000000000000007E-2</v>
      </c>
      <c r="I48" s="4">
        <f t="shared" si="2"/>
        <v>8.6000000000000007E-2</v>
      </c>
      <c r="J48" s="17">
        <f t="shared" si="3"/>
        <v>2481</v>
      </c>
      <c r="K48" s="18">
        <v>2195</v>
      </c>
      <c r="L48" s="18">
        <v>1609</v>
      </c>
      <c r="M48" s="17">
        <v>1223</v>
      </c>
    </row>
    <row r="49" spans="1:13">
      <c r="A49" s="11" t="s">
        <v>56</v>
      </c>
      <c r="B49" s="1">
        <v>20</v>
      </c>
      <c r="C49" s="1">
        <v>20</v>
      </c>
      <c r="D49" s="3">
        <f t="shared" si="0"/>
        <v>4.0000000000000002E-4</v>
      </c>
      <c r="E49" s="3">
        <v>220</v>
      </c>
      <c r="F49" s="7">
        <f t="shared" si="1"/>
        <v>8.8000000000000009E-2</v>
      </c>
      <c r="G49" s="7">
        <f t="shared" si="6"/>
        <v>8.610000000000001E-2</v>
      </c>
      <c r="H49" s="8">
        <f t="shared" si="7"/>
        <v>8.8000000000000009E-2</v>
      </c>
      <c r="I49" s="4">
        <f t="shared" si="2"/>
        <v>8.8000000000000009E-2</v>
      </c>
      <c r="J49" s="17">
        <f t="shared" si="3"/>
        <v>2498</v>
      </c>
      <c r="K49" s="18">
        <v>2210</v>
      </c>
      <c r="L49" s="18">
        <v>1622</v>
      </c>
      <c r="M49" s="17">
        <v>1234</v>
      </c>
    </row>
    <row r="50" spans="1:13">
      <c r="A50" s="11" t="s">
        <v>57</v>
      </c>
      <c r="B50" s="1">
        <v>20</v>
      </c>
      <c r="C50" s="1">
        <v>20</v>
      </c>
      <c r="D50" s="3"/>
      <c r="E50" s="3">
        <v>225</v>
      </c>
      <c r="F50" s="7">
        <f t="shared" si="1"/>
        <v>9.0000000000000011E-2</v>
      </c>
      <c r="G50" s="7">
        <f t="shared" si="6"/>
        <v>8.8100000000000012E-2</v>
      </c>
      <c r="H50" s="8">
        <f t="shared" si="7"/>
        <v>9.0000000000000011E-2</v>
      </c>
      <c r="I50" s="4">
        <f t="shared" si="2"/>
        <v>9.0000000000000011E-2</v>
      </c>
      <c r="J50" s="17">
        <f t="shared" si="3"/>
        <v>2515</v>
      </c>
      <c r="K50" s="18">
        <v>2225</v>
      </c>
      <c r="L50" s="18">
        <v>1635</v>
      </c>
      <c r="M50" s="17">
        <v>1245</v>
      </c>
    </row>
    <row r="51" spans="1:13">
      <c r="A51" s="11" t="s">
        <v>58</v>
      </c>
      <c r="B51" s="1">
        <v>20</v>
      </c>
      <c r="C51" s="1">
        <v>20</v>
      </c>
      <c r="D51" s="3"/>
      <c r="E51" s="3">
        <v>230</v>
      </c>
      <c r="F51" s="7">
        <f t="shared" si="1"/>
        <v>9.1999999999999998E-2</v>
      </c>
      <c r="G51" s="7">
        <f t="shared" si="6"/>
        <v>9.0100000000000013E-2</v>
      </c>
      <c r="H51" s="8">
        <f t="shared" si="7"/>
        <v>9.1999999999999998E-2</v>
      </c>
      <c r="I51" s="4">
        <f t="shared" si="2"/>
        <v>9.1999999999999998E-2</v>
      </c>
      <c r="J51" s="17">
        <f t="shared" si="3"/>
        <v>2532</v>
      </c>
      <c r="K51" s="18">
        <v>2240</v>
      </c>
      <c r="L51" s="18">
        <v>1648</v>
      </c>
      <c r="M51" s="17">
        <v>1256</v>
      </c>
    </row>
    <row r="52" spans="1:13">
      <c r="A52" s="11" t="s">
        <v>59</v>
      </c>
      <c r="B52" s="1">
        <v>20</v>
      </c>
      <c r="C52" s="1">
        <v>20</v>
      </c>
      <c r="D52" s="3"/>
      <c r="E52" s="3">
        <v>235</v>
      </c>
      <c r="F52" s="7">
        <f t="shared" si="1"/>
        <v>9.4E-2</v>
      </c>
      <c r="G52" s="7">
        <f t="shared" si="6"/>
        <v>9.2100000000000001E-2</v>
      </c>
      <c r="H52" s="8">
        <f t="shared" si="7"/>
        <v>9.4E-2</v>
      </c>
      <c r="I52" s="4">
        <f t="shared" si="2"/>
        <v>9.4E-2</v>
      </c>
      <c r="J52" s="17">
        <f t="shared" si="3"/>
        <v>2549</v>
      </c>
      <c r="K52" s="18">
        <v>2255</v>
      </c>
      <c r="L52" s="18">
        <v>1661</v>
      </c>
      <c r="M52" s="17">
        <v>1267</v>
      </c>
    </row>
    <row r="53" spans="1:13">
      <c r="A53" s="11" t="s">
        <v>60</v>
      </c>
      <c r="B53" s="1">
        <v>20</v>
      </c>
      <c r="C53" s="1">
        <v>20</v>
      </c>
      <c r="D53" s="3"/>
      <c r="E53" s="3">
        <v>240</v>
      </c>
      <c r="F53" s="7">
        <f t="shared" si="1"/>
        <v>9.6000000000000002E-2</v>
      </c>
      <c r="G53" s="7">
        <f t="shared" si="6"/>
        <v>9.4100000000000003E-2</v>
      </c>
      <c r="H53" s="8">
        <f t="shared" si="7"/>
        <v>9.6000000000000002E-2</v>
      </c>
      <c r="I53" s="4">
        <f t="shared" si="2"/>
        <v>9.6000000000000002E-2</v>
      </c>
      <c r="J53" s="17">
        <f t="shared" si="3"/>
        <v>2566</v>
      </c>
      <c r="K53" s="18">
        <v>2270</v>
      </c>
      <c r="L53" s="18">
        <v>1674</v>
      </c>
      <c r="M53" s="17">
        <v>1278</v>
      </c>
    </row>
    <row r="54" spans="1:13">
      <c r="A54" s="11" t="s">
        <v>61</v>
      </c>
      <c r="B54" s="1">
        <v>20</v>
      </c>
      <c r="C54" s="1">
        <v>20</v>
      </c>
      <c r="D54" s="3"/>
      <c r="E54" s="3">
        <v>245</v>
      </c>
      <c r="F54" s="7">
        <f t="shared" si="1"/>
        <v>9.8000000000000004E-2</v>
      </c>
      <c r="G54" s="7">
        <f t="shared" si="6"/>
        <v>9.6100000000000005E-2</v>
      </c>
      <c r="H54" s="8">
        <f t="shared" si="7"/>
        <v>9.8000000000000004E-2</v>
      </c>
      <c r="I54" s="4">
        <f t="shared" si="2"/>
        <v>9.8000000000000004E-2</v>
      </c>
      <c r="J54" s="17">
        <f t="shared" si="3"/>
        <v>2583</v>
      </c>
      <c r="K54" s="18">
        <v>2285</v>
      </c>
      <c r="L54" s="18">
        <v>1687</v>
      </c>
      <c r="M54" s="17">
        <v>1289</v>
      </c>
    </row>
    <row r="55" spans="1:13">
      <c r="A55" s="11" t="s">
        <v>62</v>
      </c>
      <c r="B55" s="1">
        <v>20</v>
      </c>
      <c r="C55" s="1">
        <v>20</v>
      </c>
      <c r="D55" s="3"/>
      <c r="E55" s="3">
        <v>250</v>
      </c>
      <c r="F55" s="7">
        <f t="shared" si="1"/>
        <v>0.1</v>
      </c>
      <c r="G55" s="7">
        <f t="shared" si="6"/>
        <v>9.8100000000000007E-2</v>
      </c>
      <c r="H55" s="8">
        <f t="shared" si="7"/>
        <v>0.1</v>
      </c>
      <c r="I55" s="4">
        <f t="shared" si="2"/>
        <v>0.1</v>
      </c>
      <c r="J55" s="17">
        <f t="shared" si="3"/>
        <v>2600</v>
      </c>
      <c r="K55" s="18">
        <v>2300</v>
      </c>
      <c r="L55" s="18">
        <v>1700</v>
      </c>
      <c r="M55" s="17">
        <v>1300</v>
      </c>
    </row>
    <row r="56" spans="1:13">
      <c r="A56" s="11" t="s">
        <v>63</v>
      </c>
      <c r="B56" s="1">
        <v>20</v>
      </c>
      <c r="C56" s="1">
        <v>20</v>
      </c>
      <c r="D56" s="3"/>
      <c r="E56" s="3">
        <v>255</v>
      </c>
      <c r="F56" s="7">
        <f t="shared" si="1"/>
        <v>0.10200000000000001</v>
      </c>
      <c r="G56" s="7">
        <f t="shared" si="6"/>
        <v>0.10010000000000001</v>
      </c>
      <c r="H56" s="8">
        <f t="shared" si="7"/>
        <v>0.10200000000000001</v>
      </c>
      <c r="I56" s="4">
        <f t="shared" si="2"/>
        <v>0.10200000000000001</v>
      </c>
      <c r="J56" s="17">
        <f t="shared" si="3"/>
        <v>2617</v>
      </c>
      <c r="K56" s="18">
        <v>2315</v>
      </c>
      <c r="L56" s="18">
        <v>1713</v>
      </c>
      <c r="M56" s="17">
        <v>1311</v>
      </c>
    </row>
    <row r="57" spans="1:13">
      <c r="A57" s="11" t="s">
        <v>64</v>
      </c>
      <c r="B57" s="1">
        <v>20</v>
      </c>
      <c r="C57" s="1">
        <v>20</v>
      </c>
      <c r="D57" s="3"/>
      <c r="E57" s="3">
        <v>260</v>
      </c>
      <c r="F57" s="7">
        <f t="shared" si="1"/>
        <v>0.10400000000000001</v>
      </c>
      <c r="G57" s="7">
        <f t="shared" si="6"/>
        <v>0.10210000000000001</v>
      </c>
      <c r="H57" s="8">
        <f t="shared" si="7"/>
        <v>0.10400000000000001</v>
      </c>
      <c r="I57" s="4">
        <f t="shared" si="2"/>
        <v>0.10400000000000001</v>
      </c>
      <c r="J57" s="17">
        <f t="shared" si="3"/>
        <v>2634</v>
      </c>
      <c r="K57" s="18">
        <v>2330</v>
      </c>
      <c r="L57" s="18">
        <v>1726</v>
      </c>
      <c r="M57" s="17">
        <v>1322</v>
      </c>
    </row>
    <row r="58" spans="1:13">
      <c r="A58" s="11" t="s">
        <v>65</v>
      </c>
      <c r="B58" s="1">
        <v>20</v>
      </c>
      <c r="C58" s="1">
        <v>20</v>
      </c>
      <c r="D58" s="3"/>
      <c r="E58" s="3">
        <v>265</v>
      </c>
      <c r="F58" s="7">
        <f t="shared" si="1"/>
        <v>0.10600000000000001</v>
      </c>
      <c r="G58" s="7">
        <f t="shared" si="6"/>
        <v>0.10410000000000001</v>
      </c>
      <c r="H58" s="8">
        <f t="shared" si="7"/>
        <v>0.10600000000000001</v>
      </c>
      <c r="I58" s="4">
        <f t="shared" si="2"/>
        <v>0.10600000000000001</v>
      </c>
      <c r="J58" s="17">
        <f t="shared" si="3"/>
        <v>2651</v>
      </c>
      <c r="K58" s="18">
        <v>2345</v>
      </c>
      <c r="L58" s="18">
        <v>1739</v>
      </c>
      <c r="M58" s="17">
        <v>1333</v>
      </c>
    </row>
    <row r="59" spans="1:13">
      <c r="A59" s="11" t="s">
        <v>66</v>
      </c>
      <c r="B59" s="1">
        <v>20</v>
      </c>
      <c r="C59" s="1">
        <v>20</v>
      </c>
      <c r="D59" s="3"/>
      <c r="E59" s="3">
        <v>270</v>
      </c>
      <c r="F59" s="7">
        <f t="shared" si="1"/>
        <v>0.108</v>
      </c>
      <c r="G59" s="7">
        <f t="shared" si="6"/>
        <v>0.10610000000000001</v>
      </c>
      <c r="H59" s="8">
        <f t="shared" si="7"/>
        <v>0.108</v>
      </c>
      <c r="I59" s="4">
        <f t="shared" si="2"/>
        <v>0.108</v>
      </c>
      <c r="J59" s="17">
        <f t="shared" si="3"/>
        <v>2668</v>
      </c>
      <c r="K59" s="18">
        <v>2360</v>
      </c>
      <c r="L59" s="18">
        <v>1752</v>
      </c>
      <c r="M59" s="17">
        <v>1344</v>
      </c>
    </row>
    <row r="60" spans="1:13">
      <c r="A60" s="11" t="s">
        <v>67</v>
      </c>
      <c r="B60" s="1">
        <v>20</v>
      </c>
      <c r="C60" s="1">
        <v>20</v>
      </c>
      <c r="D60" s="3"/>
      <c r="E60" s="3">
        <v>275</v>
      </c>
      <c r="F60" s="7">
        <f t="shared" si="1"/>
        <v>0.11</v>
      </c>
      <c r="G60" s="7">
        <f t="shared" si="6"/>
        <v>0.1081</v>
      </c>
      <c r="H60" s="8">
        <f t="shared" si="7"/>
        <v>0.11</v>
      </c>
      <c r="I60" s="4">
        <f t="shared" si="2"/>
        <v>0.11</v>
      </c>
      <c r="J60" s="17">
        <f t="shared" si="3"/>
        <v>2685</v>
      </c>
      <c r="K60" s="18">
        <v>2375</v>
      </c>
      <c r="L60" s="18">
        <v>1765</v>
      </c>
      <c r="M60" s="17">
        <v>1355</v>
      </c>
    </row>
    <row r="61" spans="1:13">
      <c r="A61" s="11" t="s">
        <v>68</v>
      </c>
      <c r="B61" s="1">
        <v>20</v>
      </c>
      <c r="C61" s="1">
        <v>20</v>
      </c>
      <c r="D61" s="3"/>
      <c r="E61" s="3">
        <v>280</v>
      </c>
      <c r="F61" s="7">
        <f t="shared" si="1"/>
        <v>0.112</v>
      </c>
      <c r="G61" s="7">
        <f t="shared" si="6"/>
        <v>0.1101</v>
      </c>
      <c r="H61" s="8">
        <f t="shared" si="7"/>
        <v>0.112</v>
      </c>
      <c r="I61" s="4">
        <f t="shared" si="2"/>
        <v>0.112</v>
      </c>
      <c r="J61" s="17">
        <f t="shared" si="3"/>
        <v>2702</v>
      </c>
      <c r="K61" s="18">
        <v>2390</v>
      </c>
      <c r="L61" s="18">
        <v>1778</v>
      </c>
      <c r="M61" s="17">
        <v>1366</v>
      </c>
    </row>
    <row r="62" spans="1:13">
      <c r="A62" s="11" t="s">
        <v>69</v>
      </c>
      <c r="B62" s="1">
        <v>20</v>
      </c>
      <c r="C62" s="1">
        <v>20</v>
      </c>
      <c r="D62" s="3"/>
      <c r="E62" s="3">
        <v>285</v>
      </c>
      <c r="F62" s="7">
        <f t="shared" si="1"/>
        <v>0.114</v>
      </c>
      <c r="G62" s="7">
        <f t="shared" si="6"/>
        <v>0.11210000000000001</v>
      </c>
      <c r="H62" s="8">
        <f t="shared" si="7"/>
        <v>0.114</v>
      </c>
      <c r="I62" s="4">
        <f t="shared" si="2"/>
        <v>0.114</v>
      </c>
      <c r="J62" s="17">
        <f t="shared" si="3"/>
        <v>2719</v>
      </c>
      <c r="K62" s="18">
        <v>2405</v>
      </c>
      <c r="L62" s="18">
        <v>1791</v>
      </c>
      <c r="M62" s="17">
        <v>1377</v>
      </c>
    </row>
    <row r="63" spans="1:13">
      <c r="A63" s="11" t="s">
        <v>70</v>
      </c>
      <c r="B63" s="1">
        <v>20</v>
      </c>
      <c r="C63" s="1">
        <v>20</v>
      </c>
      <c r="D63" s="3"/>
      <c r="E63" s="3">
        <v>290</v>
      </c>
      <c r="F63" s="7">
        <f t="shared" si="1"/>
        <v>0.11600000000000001</v>
      </c>
      <c r="G63" s="7">
        <f t="shared" si="6"/>
        <v>0.11410000000000001</v>
      </c>
      <c r="H63" s="8">
        <f t="shared" si="7"/>
        <v>0.11600000000000001</v>
      </c>
      <c r="I63" s="4">
        <f t="shared" si="2"/>
        <v>0.11600000000000001</v>
      </c>
      <c r="J63" s="17">
        <f t="shared" si="3"/>
        <v>2736</v>
      </c>
      <c r="K63" s="18">
        <v>2420</v>
      </c>
      <c r="L63" s="18">
        <v>1804</v>
      </c>
      <c r="M63" s="17">
        <v>1388</v>
      </c>
    </row>
    <row r="64" spans="1:13">
      <c r="A64" s="11" t="s">
        <v>71</v>
      </c>
      <c r="B64" s="1">
        <v>20</v>
      </c>
      <c r="C64" s="1">
        <v>20</v>
      </c>
      <c r="D64" s="3"/>
      <c r="E64" s="3">
        <v>295</v>
      </c>
      <c r="F64" s="7">
        <f t="shared" si="1"/>
        <v>0.11800000000000001</v>
      </c>
      <c r="G64" s="7">
        <f t="shared" si="6"/>
        <v>0.11610000000000001</v>
      </c>
      <c r="H64" s="8">
        <f t="shared" si="7"/>
        <v>0.11800000000000001</v>
      </c>
      <c r="I64" s="4">
        <f t="shared" si="2"/>
        <v>0.11800000000000001</v>
      </c>
      <c r="J64" s="17">
        <f t="shared" si="3"/>
        <v>2753</v>
      </c>
      <c r="K64" s="18">
        <v>2435</v>
      </c>
      <c r="L64" s="18">
        <v>1817</v>
      </c>
      <c r="M64" s="17">
        <v>1399</v>
      </c>
    </row>
    <row r="65" spans="1:13">
      <c r="A65" s="11" t="s">
        <v>72</v>
      </c>
      <c r="B65" s="1">
        <v>20</v>
      </c>
      <c r="C65" s="1">
        <v>20</v>
      </c>
      <c r="D65" s="3"/>
      <c r="E65" s="5">
        <v>300</v>
      </c>
      <c r="F65" s="7">
        <f t="shared" si="1"/>
        <v>0.12000000000000001</v>
      </c>
      <c r="G65" s="7">
        <f t="shared" si="6"/>
        <v>0.11810000000000001</v>
      </c>
      <c r="H65" s="8">
        <f t="shared" si="7"/>
        <v>0.12000000000000001</v>
      </c>
      <c r="I65" s="4">
        <f t="shared" si="2"/>
        <v>0.12000000000000001</v>
      </c>
      <c r="J65" s="17">
        <f t="shared" si="3"/>
        <v>2770</v>
      </c>
      <c r="K65" s="18">
        <v>2450</v>
      </c>
      <c r="L65" s="18">
        <v>1830</v>
      </c>
      <c r="M65" s="17">
        <v>1410</v>
      </c>
    </row>
    <row r="66" spans="1:13">
      <c r="A66" s="11" t="s">
        <v>73</v>
      </c>
      <c r="B66" s="1">
        <v>20</v>
      </c>
      <c r="C66" s="1">
        <v>20</v>
      </c>
      <c r="D66" s="3"/>
      <c r="E66" s="5">
        <v>325</v>
      </c>
      <c r="F66" s="7">
        <f t="shared" si="1"/>
        <v>0.13</v>
      </c>
      <c r="G66" s="7">
        <f t="shared" si="6"/>
        <v>0.12010000000000001</v>
      </c>
      <c r="H66" s="8">
        <f t="shared" si="7"/>
        <v>0.13</v>
      </c>
      <c r="I66" s="4">
        <f t="shared" si="2"/>
        <v>0.13</v>
      </c>
      <c r="J66" s="17">
        <f t="shared" si="3"/>
        <v>2855</v>
      </c>
      <c r="K66" s="18">
        <v>2525</v>
      </c>
      <c r="L66" s="18">
        <v>1895</v>
      </c>
      <c r="M66" s="17">
        <v>1465</v>
      </c>
    </row>
    <row r="67" spans="1:13">
      <c r="A67" s="11" t="s">
        <v>74</v>
      </c>
      <c r="B67" s="1">
        <v>20</v>
      </c>
      <c r="C67" s="1">
        <v>20</v>
      </c>
      <c r="D67" s="3"/>
      <c r="E67" s="5">
        <v>350</v>
      </c>
      <c r="F67" s="7">
        <f t="shared" si="1"/>
        <v>0.14000000000000001</v>
      </c>
      <c r="G67" s="7">
        <f t="shared" si="6"/>
        <v>0.13009999999999999</v>
      </c>
      <c r="H67" s="8">
        <f t="shared" si="7"/>
        <v>0.14000000000000001</v>
      </c>
      <c r="I67" s="4">
        <f t="shared" si="2"/>
        <v>0.14000000000000001</v>
      </c>
      <c r="J67" s="17">
        <f t="shared" si="3"/>
        <v>2940</v>
      </c>
      <c r="K67" s="18">
        <v>2600</v>
      </c>
      <c r="L67" s="18">
        <v>1960</v>
      </c>
      <c r="M67" s="17">
        <v>1520</v>
      </c>
    </row>
    <row r="68" spans="1:13">
      <c r="A68" s="11" t="s">
        <v>75</v>
      </c>
      <c r="B68" s="1">
        <v>20</v>
      </c>
      <c r="C68" s="1">
        <v>20</v>
      </c>
      <c r="D68" s="3"/>
      <c r="E68" s="5">
        <v>375</v>
      </c>
      <c r="F68" s="7">
        <f t="shared" si="1"/>
        <v>0.15</v>
      </c>
      <c r="G68" s="7">
        <f t="shared" si="6"/>
        <v>0.1401</v>
      </c>
      <c r="H68" s="8">
        <f t="shared" si="7"/>
        <v>0.15</v>
      </c>
      <c r="I68" s="4">
        <f t="shared" si="2"/>
        <v>0.15</v>
      </c>
      <c r="J68" s="17">
        <f t="shared" si="3"/>
        <v>3025</v>
      </c>
      <c r="K68" s="18">
        <v>2675</v>
      </c>
      <c r="L68" s="18">
        <v>2025</v>
      </c>
      <c r="M68" s="17">
        <v>1575</v>
      </c>
    </row>
    <row r="69" spans="1:13">
      <c r="A69" s="11" t="s">
        <v>76</v>
      </c>
      <c r="B69" s="1">
        <v>20</v>
      </c>
      <c r="C69" s="1">
        <v>20</v>
      </c>
      <c r="D69" s="3"/>
      <c r="E69" s="5">
        <v>400</v>
      </c>
      <c r="F69" s="7">
        <f t="shared" si="1"/>
        <v>0.16</v>
      </c>
      <c r="G69" s="7">
        <f t="shared" si="6"/>
        <v>0.15009999999999998</v>
      </c>
      <c r="H69" s="8">
        <f t="shared" si="7"/>
        <v>0.16</v>
      </c>
      <c r="I69" s="4">
        <f t="shared" ref="I69:I84" si="8">B69*C69/1000000*E69</f>
        <v>0.16</v>
      </c>
      <c r="J69" s="17">
        <f t="shared" si="3"/>
        <v>3110</v>
      </c>
      <c r="K69" s="18">
        <v>2750</v>
      </c>
      <c r="L69" s="18">
        <v>2090</v>
      </c>
      <c r="M69" s="17">
        <v>1630</v>
      </c>
    </row>
    <row r="70" spans="1:13">
      <c r="A70" s="11" t="s">
        <v>77</v>
      </c>
      <c r="B70" s="1">
        <v>20</v>
      </c>
      <c r="C70" s="1">
        <v>20</v>
      </c>
      <c r="D70" s="3"/>
      <c r="E70" s="5">
        <v>425</v>
      </c>
      <c r="F70" s="7">
        <f t="shared" ref="F70:F84" si="9">B70*C70/1000000*E70</f>
        <v>0.17</v>
      </c>
      <c r="G70" s="7">
        <f t="shared" si="6"/>
        <v>0.16009999999999999</v>
      </c>
      <c r="H70" s="8">
        <f t="shared" si="7"/>
        <v>0.17</v>
      </c>
      <c r="I70" s="4">
        <f t="shared" si="8"/>
        <v>0.17</v>
      </c>
      <c r="J70" s="17">
        <f t="shared" ref="J70:J84" si="10">B70*C70/100*0.85*E70+1750</f>
        <v>3195</v>
      </c>
      <c r="K70" s="18">
        <v>2825</v>
      </c>
      <c r="L70" s="18">
        <v>2155</v>
      </c>
      <c r="M70" s="17">
        <v>1685</v>
      </c>
    </row>
    <row r="71" spans="1:13">
      <c r="A71" s="11" t="s">
        <v>78</v>
      </c>
      <c r="B71" s="1">
        <v>20</v>
      </c>
      <c r="C71" s="1">
        <v>20</v>
      </c>
      <c r="D71" s="3"/>
      <c r="E71" s="5">
        <v>450</v>
      </c>
      <c r="F71" s="7">
        <f t="shared" si="9"/>
        <v>0.18000000000000002</v>
      </c>
      <c r="G71" s="7">
        <f t="shared" si="6"/>
        <v>0.1701</v>
      </c>
      <c r="H71" s="8">
        <f t="shared" si="7"/>
        <v>0.18000000000000002</v>
      </c>
      <c r="I71" s="4">
        <f t="shared" si="8"/>
        <v>0.18000000000000002</v>
      </c>
      <c r="J71" s="17">
        <f t="shared" si="10"/>
        <v>3280</v>
      </c>
      <c r="K71" s="18">
        <v>2900</v>
      </c>
      <c r="L71" s="18">
        <v>2220</v>
      </c>
      <c r="M71" s="17">
        <v>1740</v>
      </c>
    </row>
    <row r="72" spans="1:13">
      <c r="A72" s="11" t="s">
        <v>79</v>
      </c>
      <c r="B72" s="1">
        <v>20</v>
      </c>
      <c r="C72" s="1">
        <v>20</v>
      </c>
      <c r="D72" s="3"/>
      <c r="E72" s="5">
        <v>475</v>
      </c>
      <c r="F72" s="7">
        <f t="shared" si="9"/>
        <v>0.19</v>
      </c>
      <c r="G72" s="7">
        <f t="shared" ref="G72:G84" si="11">H71+0.0001</f>
        <v>0.18010000000000001</v>
      </c>
      <c r="H72" s="8">
        <f t="shared" ref="H72:H84" si="12">I72</f>
        <v>0.19</v>
      </c>
      <c r="I72" s="4">
        <f t="shared" si="8"/>
        <v>0.19</v>
      </c>
      <c r="J72" s="17">
        <f t="shared" si="10"/>
        <v>3365</v>
      </c>
      <c r="K72" s="18">
        <v>2975</v>
      </c>
      <c r="L72" s="18">
        <v>2285</v>
      </c>
      <c r="M72" s="17">
        <v>1795</v>
      </c>
    </row>
    <row r="73" spans="1:13">
      <c r="A73" s="11" t="s">
        <v>80</v>
      </c>
      <c r="B73" s="1">
        <v>20</v>
      </c>
      <c r="C73" s="1">
        <v>20</v>
      </c>
      <c r="D73" s="3"/>
      <c r="E73" s="5">
        <v>500</v>
      </c>
      <c r="F73" s="7">
        <f t="shared" si="9"/>
        <v>0.2</v>
      </c>
      <c r="G73" s="7">
        <f t="shared" si="11"/>
        <v>0.19009999999999999</v>
      </c>
      <c r="H73" s="8">
        <f t="shared" si="12"/>
        <v>0.2</v>
      </c>
      <c r="I73" s="4">
        <f t="shared" si="8"/>
        <v>0.2</v>
      </c>
      <c r="J73" s="17">
        <f t="shared" si="10"/>
        <v>3450</v>
      </c>
      <c r="K73" s="18">
        <v>3050</v>
      </c>
      <c r="L73" s="18">
        <v>2350</v>
      </c>
      <c r="M73" s="17">
        <v>1850</v>
      </c>
    </row>
    <row r="74" spans="1:13">
      <c r="A74" s="11" t="s">
        <v>81</v>
      </c>
      <c r="B74" s="1">
        <v>20</v>
      </c>
      <c r="C74" s="1">
        <v>20</v>
      </c>
      <c r="D74" s="3"/>
      <c r="E74" s="5">
        <v>550</v>
      </c>
      <c r="F74" s="7">
        <f t="shared" si="9"/>
        <v>0.22</v>
      </c>
      <c r="G74" s="7">
        <f t="shared" si="11"/>
        <v>0.2001</v>
      </c>
      <c r="H74" s="8">
        <f t="shared" si="12"/>
        <v>0.22</v>
      </c>
      <c r="I74" s="4">
        <f t="shared" si="8"/>
        <v>0.22</v>
      </c>
      <c r="J74" s="17">
        <f t="shared" si="10"/>
        <v>3620</v>
      </c>
      <c r="K74" s="18">
        <v>3200</v>
      </c>
      <c r="L74" s="18">
        <v>2480</v>
      </c>
      <c r="M74" s="17">
        <v>1960</v>
      </c>
    </row>
    <row r="75" spans="1:13">
      <c r="A75" s="11" t="s">
        <v>82</v>
      </c>
      <c r="B75" s="1">
        <v>20</v>
      </c>
      <c r="C75" s="1">
        <v>20</v>
      </c>
      <c r="D75" s="3"/>
      <c r="E75" s="5">
        <v>600</v>
      </c>
      <c r="F75" s="7">
        <f t="shared" si="9"/>
        <v>0.24000000000000002</v>
      </c>
      <c r="G75" s="7">
        <f t="shared" si="11"/>
        <v>0.22009999999999999</v>
      </c>
      <c r="H75" s="8">
        <f t="shared" si="12"/>
        <v>0.24000000000000002</v>
      </c>
      <c r="I75" s="4">
        <f t="shared" si="8"/>
        <v>0.24000000000000002</v>
      </c>
      <c r="J75" s="17">
        <f t="shared" si="10"/>
        <v>3790</v>
      </c>
      <c r="K75" s="18">
        <v>3350</v>
      </c>
      <c r="L75" s="18">
        <v>2610</v>
      </c>
      <c r="M75" s="17">
        <v>2070</v>
      </c>
    </row>
    <row r="76" spans="1:13">
      <c r="A76" s="11" t="s">
        <v>83</v>
      </c>
      <c r="B76" s="1">
        <v>20</v>
      </c>
      <c r="C76" s="1">
        <v>20</v>
      </c>
      <c r="D76" s="3"/>
      <c r="E76" s="5">
        <v>650</v>
      </c>
      <c r="F76" s="7">
        <f t="shared" si="9"/>
        <v>0.26</v>
      </c>
      <c r="G76" s="7">
        <f t="shared" si="11"/>
        <v>0.24010000000000001</v>
      </c>
      <c r="H76" s="8">
        <f t="shared" si="12"/>
        <v>0.26</v>
      </c>
      <c r="I76" s="4">
        <f t="shared" si="8"/>
        <v>0.26</v>
      </c>
      <c r="J76" s="17">
        <f t="shared" si="10"/>
        <v>3960</v>
      </c>
      <c r="K76" s="18">
        <v>3500</v>
      </c>
      <c r="L76" s="18">
        <v>2740</v>
      </c>
      <c r="M76" s="17">
        <v>2180</v>
      </c>
    </row>
    <row r="77" spans="1:13">
      <c r="A77" s="11" t="s">
        <v>84</v>
      </c>
      <c r="B77" s="1">
        <v>20</v>
      </c>
      <c r="C77" s="1">
        <v>20</v>
      </c>
      <c r="D77" s="3"/>
      <c r="E77" s="5">
        <v>700</v>
      </c>
      <c r="F77" s="7">
        <f t="shared" si="9"/>
        <v>0.28000000000000003</v>
      </c>
      <c r="G77" s="7">
        <f t="shared" si="11"/>
        <v>0.2601</v>
      </c>
      <c r="H77" s="8">
        <f t="shared" si="12"/>
        <v>0.28000000000000003</v>
      </c>
      <c r="I77" s="4">
        <f t="shared" si="8"/>
        <v>0.28000000000000003</v>
      </c>
      <c r="J77" s="17">
        <f t="shared" si="10"/>
        <v>4130</v>
      </c>
      <c r="K77" s="18">
        <v>3650</v>
      </c>
      <c r="L77" s="18">
        <v>2870</v>
      </c>
      <c r="M77" s="17">
        <v>2290</v>
      </c>
    </row>
    <row r="78" spans="1:13">
      <c r="A78" s="11" t="s">
        <v>85</v>
      </c>
      <c r="B78" s="1">
        <v>20</v>
      </c>
      <c r="C78" s="1">
        <v>20</v>
      </c>
      <c r="D78" s="3"/>
      <c r="E78" s="5">
        <v>750</v>
      </c>
      <c r="F78" s="7">
        <f t="shared" si="9"/>
        <v>0.3</v>
      </c>
      <c r="G78" s="7">
        <f t="shared" si="11"/>
        <v>0.28010000000000002</v>
      </c>
      <c r="H78" s="8">
        <f t="shared" si="12"/>
        <v>0.3</v>
      </c>
      <c r="I78" s="4">
        <f t="shared" si="8"/>
        <v>0.3</v>
      </c>
      <c r="J78" s="17">
        <f t="shared" si="10"/>
        <v>4300</v>
      </c>
      <c r="K78" s="18">
        <v>3800</v>
      </c>
      <c r="L78" s="18">
        <v>3000</v>
      </c>
      <c r="M78" s="17">
        <v>2400</v>
      </c>
    </row>
    <row r="79" spans="1:13">
      <c r="A79" s="11" t="s">
        <v>86</v>
      </c>
      <c r="B79" s="1">
        <v>20</v>
      </c>
      <c r="C79" s="1">
        <v>20</v>
      </c>
      <c r="D79" s="3"/>
      <c r="E79" s="5">
        <v>800</v>
      </c>
      <c r="F79" s="7">
        <f t="shared" si="9"/>
        <v>0.32</v>
      </c>
      <c r="G79" s="7">
        <f t="shared" si="11"/>
        <v>0.30009999999999998</v>
      </c>
      <c r="H79" s="8">
        <f t="shared" si="12"/>
        <v>0.32</v>
      </c>
      <c r="I79" s="4">
        <f t="shared" si="8"/>
        <v>0.32</v>
      </c>
      <c r="J79" s="17">
        <f t="shared" si="10"/>
        <v>4470</v>
      </c>
      <c r="K79" s="18">
        <v>3950</v>
      </c>
      <c r="L79" s="18">
        <v>3130</v>
      </c>
      <c r="M79" s="17">
        <v>2510</v>
      </c>
    </row>
    <row r="80" spans="1:13">
      <c r="A80" s="11" t="s">
        <v>87</v>
      </c>
      <c r="B80" s="1">
        <v>20</v>
      </c>
      <c r="C80" s="1">
        <v>20</v>
      </c>
      <c r="D80" s="3"/>
      <c r="E80" s="5">
        <v>850</v>
      </c>
      <c r="F80" s="7">
        <f t="shared" si="9"/>
        <v>0.34</v>
      </c>
      <c r="G80" s="7">
        <f t="shared" si="11"/>
        <v>0.3201</v>
      </c>
      <c r="H80" s="8">
        <f t="shared" si="12"/>
        <v>0.34</v>
      </c>
      <c r="I80" s="4">
        <f t="shared" si="8"/>
        <v>0.34</v>
      </c>
      <c r="J80" s="17">
        <f t="shared" si="10"/>
        <v>4640</v>
      </c>
      <c r="K80" s="18">
        <v>4100</v>
      </c>
      <c r="L80" s="18">
        <v>3260</v>
      </c>
      <c r="M80" s="17">
        <v>2620</v>
      </c>
    </row>
    <row r="81" spans="1:18">
      <c r="A81" s="11" t="s">
        <v>88</v>
      </c>
      <c r="B81" s="1">
        <v>20</v>
      </c>
      <c r="C81" s="1">
        <v>20</v>
      </c>
      <c r="D81" s="3"/>
      <c r="E81" s="5">
        <v>900</v>
      </c>
      <c r="F81" s="7">
        <f t="shared" si="9"/>
        <v>0.36000000000000004</v>
      </c>
      <c r="G81" s="7">
        <f t="shared" si="11"/>
        <v>0.34010000000000001</v>
      </c>
      <c r="H81" s="8">
        <f t="shared" si="12"/>
        <v>0.36000000000000004</v>
      </c>
      <c r="I81" s="4">
        <f t="shared" si="8"/>
        <v>0.36000000000000004</v>
      </c>
      <c r="J81" s="17">
        <f t="shared" si="10"/>
        <v>4810</v>
      </c>
      <c r="K81" s="18">
        <v>4250</v>
      </c>
      <c r="L81" s="18">
        <v>3390</v>
      </c>
      <c r="M81" s="17">
        <v>2730</v>
      </c>
      <c r="R81" t="s">
        <v>11</v>
      </c>
    </row>
    <row r="82" spans="1:18">
      <c r="A82" s="11" t="s">
        <v>89</v>
      </c>
      <c r="B82" s="1">
        <v>20</v>
      </c>
      <c r="C82" s="1">
        <v>20</v>
      </c>
      <c r="D82" s="3"/>
      <c r="E82" s="5">
        <v>950</v>
      </c>
      <c r="F82" s="7">
        <f t="shared" si="9"/>
        <v>0.38</v>
      </c>
      <c r="G82" s="7">
        <f t="shared" si="11"/>
        <v>0.36010000000000003</v>
      </c>
      <c r="H82" s="8">
        <f t="shared" si="12"/>
        <v>0.38</v>
      </c>
      <c r="I82" s="4">
        <f t="shared" si="8"/>
        <v>0.38</v>
      </c>
      <c r="J82" s="17">
        <f t="shared" si="10"/>
        <v>4980</v>
      </c>
      <c r="K82" s="18">
        <v>4400</v>
      </c>
      <c r="L82" s="18">
        <v>3520</v>
      </c>
      <c r="M82" s="17">
        <v>2840</v>
      </c>
    </row>
    <row r="83" spans="1:18">
      <c r="A83" s="11" t="s">
        <v>90</v>
      </c>
      <c r="B83" s="1">
        <v>20</v>
      </c>
      <c r="C83" s="1">
        <v>20</v>
      </c>
      <c r="D83" s="3"/>
      <c r="E83" s="5">
        <v>1000</v>
      </c>
      <c r="F83" s="7">
        <f t="shared" si="9"/>
        <v>0.4</v>
      </c>
      <c r="G83" s="7">
        <f t="shared" si="11"/>
        <v>0.38009999999999999</v>
      </c>
      <c r="H83" s="8">
        <f t="shared" si="12"/>
        <v>0.4</v>
      </c>
      <c r="I83" s="4">
        <f t="shared" si="8"/>
        <v>0.4</v>
      </c>
      <c r="J83" s="17">
        <f t="shared" si="10"/>
        <v>5150</v>
      </c>
      <c r="K83" s="18">
        <v>4550</v>
      </c>
      <c r="L83" s="18">
        <v>3650</v>
      </c>
      <c r="M83" s="17">
        <v>2950</v>
      </c>
    </row>
    <row r="84" spans="1:18">
      <c r="A84" s="11" t="s">
        <v>91</v>
      </c>
      <c r="B84" s="1">
        <v>20</v>
      </c>
      <c r="C84" s="1">
        <v>20</v>
      </c>
      <c r="D84" s="3"/>
      <c r="E84" s="5">
        <v>1100</v>
      </c>
      <c r="F84" s="7">
        <f t="shared" si="9"/>
        <v>0.44</v>
      </c>
      <c r="G84" s="7">
        <f t="shared" si="11"/>
        <v>0.40010000000000001</v>
      </c>
      <c r="H84" s="8">
        <f t="shared" si="12"/>
        <v>0.44</v>
      </c>
      <c r="I84" s="4">
        <f t="shared" si="8"/>
        <v>0.44</v>
      </c>
      <c r="J84" s="17">
        <f t="shared" si="10"/>
        <v>5490</v>
      </c>
      <c r="K84" s="18">
        <v>4850</v>
      </c>
      <c r="L84" s="18">
        <v>3910</v>
      </c>
      <c r="M84" s="17">
        <v>3170</v>
      </c>
    </row>
    <row r="85" spans="1:18">
      <c r="H85" s="2" t="s">
        <v>11</v>
      </c>
    </row>
    <row r="86" spans="1:18">
      <c r="A86" s="13" t="s">
        <v>92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spans="1:18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</row>
  </sheetData>
  <dataConsolidate function="product">
    <dataRefs count="1">
      <dataRef ref="E1:F1048576" sheet="Sheet1"/>
    </dataRefs>
  </dataConsolidate>
  <mergeCells count="7">
    <mergeCell ref="A86:M87"/>
    <mergeCell ref="G1:H3"/>
    <mergeCell ref="B1:B3"/>
    <mergeCell ref="C1:C3"/>
    <mergeCell ref="E1:E3"/>
    <mergeCell ref="I1:I3"/>
    <mergeCell ref="F1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2026-03-06T10:04:29Z</dcterms:created>
  <dcterms:modified xsi:type="dcterms:W3CDTF">2026-04-20T10:40:14Z</dcterms:modified>
</cp:coreProperties>
</file>